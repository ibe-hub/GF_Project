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https://d.docs.live.net/d08144d28462779f/ABJ/Database/"/>
    </mc:Choice>
  </mc:AlternateContent>
  <xr:revisionPtr revIDLastSave="154" documentId="8_{BFC507F8-66FF-4B30-B147-B44349A51119}" xr6:coauthVersionLast="47" xr6:coauthVersionMax="47" xr10:uidLastSave="{1C3A3906-CC56-8C48-8025-D89E258822F2}"/>
  <bookViews>
    <workbookView xWindow="10780" yWindow="800" windowWidth="42780" windowHeight="22860" xr2:uid="{749869CA-D30B-4281-AE71-6762383850ED}"/>
  </bookViews>
  <sheets>
    <sheet name="Okt-26" sheetId="14" r:id="rId1"/>
    <sheet name="Okt 25" sheetId="4" r:id="rId2"/>
    <sheet name="Apr 26" sheetId="1" r:id="rId3"/>
    <sheet name="Kar Apr 26" sheetId="10" state="hidden" r:id="rId4"/>
    <sheet name="B3 " sheetId="9" state="hidden" r:id="rId5"/>
    <sheet name="Jahi Apr 26" sheetId="8" state="hidden" r:id="rId6"/>
    <sheet name="Sheet2" sheetId="13" state="hidden" r:id="rId7"/>
    <sheet name="Apr 25" sheetId="6" r:id="rId8"/>
  </sheets>
  <externalReferences>
    <externalReference r:id="rId9"/>
    <externalReference r:id="rId10"/>
  </externalReferences>
  <definedNames>
    <definedName name="__123Graph_A" hidden="1">#REF!</definedName>
    <definedName name="__123Graph_A96DOLLARS" hidden="1">#REF!</definedName>
    <definedName name="__123Graph_A96EXPEND" hidden="1">#REF!</definedName>
    <definedName name="__123Graph_A96PROFIT" hidden="1">#REF!</definedName>
    <definedName name="__123Graph_A96REVENUE" hidden="1">#REF!</definedName>
    <definedName name="__123Graph_AChart1" hidden="1">#REF!</definedName>
    <definedName name="__123Graph_AChart2" hidden="1">#REF!</definedName>
    <definedName name="__123Graph_ACurrent" hidden="1">#REF!</definedName>
    <definedName name="__123Graph_B" hidden="1">#REF!</definedName>
    <definedName name="__123Graph_B96DOLLARS" hidden="1">#REF!</definedName>
    <definedName name="__123Graph_B96EXPEND" hidden="1">#REF!</definedName>
    <definedName name="__123Graph_B96PROFIT" hidden="1">#REF!</definedName>
    <definedName name="__123Graph_B96REVENUE" hidden="1">#REF!</definedName>
    <definedName name="__123Graph_BChart1" hidden="1">#REF!</definedName>
    <definedName name="__123Graph_BChart2" hidden="1">#REF!</definedName>
    <definedName name="__123Graph_BCurrent" hidden="1">#REF!</definedName>
    <definedName name="__123Graph_C" hidden="1">#REF!</definedName>
    <definedName name="__123Graph_C96DOLLARS" hidden="1">#REF!</definedName>
    <definedName name="__123Graph_C96EXPEND" hidden="1">#REF!</definedName>
    <definedName name="__123Graph_C96PROFIT" hidden="1">#REF!</definedName>
    <definedName name="__123Graph_C96REVENUE" hidden="1">#REF!</definedName>
    <definedName name="__123Graph_CChart1" hidden="1">#REF!</definedName>
    <definedName name="__123Graph_CChart2" hidden="1">#REF!</definedName>
    <definedName name="__123Graph_CCurrent" hidden="1">#REF!</definedName>
    <definedName name="__123Graph_D" hidden="1">#REF!</definedName>
    <definedName name="__123Graph_E" hidden="1">#REF!</definedName>
    <definedName name="__123Graph_F" hidden="1">#REF!</definedName>
    <definedName name="__123Graph_X" hidden="1">#REF!</definedName>
    <definedName name="__123Graph_X96DOLLARS" hidden="1">#REF!</definedName>
    <definedName name="__123Graph_X96EXPEND" hidden="1">#REF!</definedName>
    <definedName name="__123Graph_X96PROFIT" hidden="1">#REF!</definedName>
    <definedName name="__123Graph_X96REVENUE" hidden="1">#REF!</definedName>
    <definedName name="__123Graph_XCurrent" hidden="1">#REF!</definedName>
    <definedName name="_xlnm._FilterDatabase" localSheetId="2" hidden="1">'Apr 26'!$B$4:$AU$53</definedName>
    <definedName name="_xlnm._FilterDatabase" localSheetId="1" hidden="1">'Okt 25'!$B$3:$U$28</definedName>
    <definedName name="_xlnm._FilterDatabase" localSheetId="0" hidden="1">'Okt-26'!$B$3:$P$99</definedName>
    <definedName name="_Key2" hidden="1">#REF!</definedName>
    <definedName name="_Order1" hidden="1">255</definedName>
    <definedName name="_Order2" hidden="1">255</definedName>
    <definedName name="_Sort" hidden="1">#REF!</definedName>
    <definedName name="anscount" hidden="1">5</definedName>
    <definedName name="AS2DocOpenMode" hidden="1">"AS2DocumentEdit"</definedName>
    <definedName name="AS2NamedRange" hidden="1">4</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LPH378" hidden="1">#REF!</definedName>
    <definedName name="BLPH379"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0" hidden="1">#REF!</definedName>
    <definedName name="BLPH451" hidden="1">#REF!</definedName>
    <definedName name="BLPH452" hidden="1">#REF!</definedName>
    <definedName name="BLPH453" hidden="1">#REF!</definedName>
    <definedName name="BLPH454" hidden="1">#REF!</definedName>
    <definedName name="dd" hidden="1">#REF!</definedName>
    <definedName name="HTML_CodePage" hidden="1">949</definedName>
    <definedName name="HTML_Control" hidden="1">{"'??'!$A$1:$I$22"}</definedName>
    <definedName name="HTML_Description" hidden="1">""</definedName>
    <definedName name="HTML_Email" hidden="1">"jsleea@ahnkwon.co.kr"</definedName>
    <definedName name="HTML_Header" hidden="1">"??"</definedName>
    <definedName name="HTML_LastUpdate" hidden="1">"98-08-21"</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"D:\???\MyHTML.htm"</definedName>
    <definedName name="HTML_Title" hidden="1">"diamonds"</definedName>
    <definedName name="Kategori">[1]Analisis!$N$4:$N$111</definedName>
    <definedName name="limcount" hidden="1">1</definedName>
    <definedName name="RAB">[1]Analisis!$R$4:$R$111</definedName>
    <definedName name="SAPBEXrevision" hidden="1">4</definedName>
    <definedName name="SAPBEXsysID" hidden="1">"BD1"</definedName>
    <definedName name="SAPBEXwbID" hidden="1">"3OX7LPVN5DJHGTNBSTUTKVIWC"</definedName>
    <definedName name="sencount" hidden="1">5</definedName>
    <definedName name="StatusProgram">[1]Analisis!$L$4:$L$111</definedName>
    <definedName name="Strategi">[1]Analisis!$AU$4:$AU$111</definedName>
    <definedName name="TextRefCopyRangeCount" hidden="1">8</definedName>
    <definedName name="TOK">[1]Analisis!$I$4:$I$111</definedName>
    <definedName name="XRefColumnsCount" hidden="1">7</definedName>
    <definedName name="XRefCopyRangeCount" hidden="1">8</definedName>
    <definedName name="XRefPasteRangeCount" hidden="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8" i="4" l="1"/>
  <c r="B25" i="4"/>
  <c r="B24" i="4"/>
  <c r="B22" i="4"/>
  <c r="B20" i="4"/>
  <c r="B19" i="4"/>
  <c r="B18" i="4"/>
  <c r="B17" i="4"/>
  <c r="B16" i="4"/>
  <c r="B15" i="4"/>
  <c r="B14" i="4"/>
  <c r="B13" i="4"/>
  <c r="B12" i="4"/>
  <c r="B11" i="4"/>
  <c r="B9" i="4"/>
  <c r="B8" i="4"/>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I2" i="4" l="1"/>
  <c r="H2" i="4"/>
  <c r="K2" i="4" l="1"/>
  <c r="I54" i="1"/>
  <c r="J8" i="4" l="1"/>
  <c r="J9" i="4"/>
  <c r="J11" i="4"/>
  <c r="J13" i="4"/>
  <c r="J14" i="4"/>
  <c r="J15" i="4"/>
  <c r="J16" i="4"/>
  <c r="J17" i="4"/>
  <c r="J18" i="4"/>
  <c r="J19" i="4"/>
  <c r="J20" i="4"/>
  <c r="J21" i="4"/>
  <c r="J22" i="4"/>
  <c r="J23" i="4"/>
  <c r="J24" i="4"/>
  <c r="J25" i="4"/>
  <c r="J26" i="4"/>
  <c r="J27" i="4"/>
  <c r="J28" i="4"/>
  <c r="J2" i="4" l="1"/>
  <c r="J5" i="14"/>
  <c r="J36" i="14"/>
  <c r="J42" i="14"/>
  <c r="J43" i="14"/>
  <c r="J50" i="14"/>
  <c r="J55" i="14"/>
  <c r="J82" i="14"/>
  <c r="J4" i="14"/>
  <c r="H100" i="14"/>
  <c r="G100" i="14"/>
  <c r="I99" i="14"/>
  <c r="J99" i="14" s="1"/>
  <c r="I98" i="14"/>
  <c r="J98" i="14" s="1"/>
  <c r="I97" i="14"/>
  <c r="J97" i="14" s="1"/>
  <c r="I96" i="14"/>
  <c r="J96" i="14" s="1"/>
  <c r="I95" i="14"/>
  <c r="J95" i="14" s="1"/>
  <c r="I94" i="14"/>
  <c r="J94" i="14" s="1"/>
  <c r="I93" i="14"/>
  <c r="J93" i="14" s="1"/>
  <c r="I92" i="14"/>
  <c r="J92" i="14" s="1"/>
  <c r="I91" i="14"/>
  <c r="J91" i="14" s="1"/>
  <c r="I90" i="14"/>
  <c r="J90" i="14" s="1"/>
  <c r="I89" i="14"/>
  <c r="J89" i="14" s="1"/>
  <c r="I88" i="14"/>
  <c r="J88" i="14" s="1"/>
  <c r="I87" i="14"/>
  <c r="J87" i="14" s="1"/>
  <c r="I86" i="14"/>
  <c r="J86" i="14" s="1"/>
  <c r="I85" i="14"/>
  <c r="J85" i="14" s="1"/>
  <c r="I84" i="14"/>
  <c r="J84" i="14" s="1"/>
  <c r="I83" i="14"/>
  <c r="J83" i="14" s="1"/>
  <c r="I81" i="14"/>
  <c r="J81" i="14" s="1"/>
  <c r="I80" i="14"/>
  <c r="J80" i="14" s="1"/>
  <c r="I79" i="14"/>
  <c r="J79" i="14" s="1"/>
  <c r="I78" i="14"/>
  <c r="J78" i="14" s="1"/>
  <c r="I77" i="14"/>
  <c r="J77" i="14" s="1"/>
  <c r="I76" i="14"/>
  <c r="J76" i="14" s="1"/>
  <c r="I75" i="14"/>
  <c r="J75" i="14" s="1"/>
  <c r="I74" i="14"/>
  <c r="J74" i="14" s="1"/>
  <c r="I73" i="14"/>
  <c r="J73" i="14" s="1"/>
  <c r="I72" i="14"/>
  <c r="J72" i="14" s="1"/>
  <c r="I71" i="14"/>
  <c r="J71" i="14" s="1"/>
  <c r="I70" i="14"/>
  <c r="J70" i="14" s="1"/>
  <c r="I69" i="14"/>
  <c r="J69" i="14" s="1"/>
  <c r="I68" i="14"/>
  <c r="J68" i="14" s="1"/>
  <c r="I67" i="14"/>
  <c r="J67" i="14" s="1"/>
  <c r="I66" i="14"/>
  <c r="J66" i="14" s="1"/>
  <c r="I65" i="14"/>
  <c r="J65" i="14" s="1"/>
  <c r="I64" i="14"/>
  <c r="J64" i="14" s="1"/>
  <c r="I63" i="14"/>
  <c r="J63" i="14" s="1"/>
  <c r="I62" i="14"/>
  <c r="J62" i="14" s="1"/>
  <c r="I61" i="14"/>
  <c r="J61" i="14" s="1"/>
  <c r="I60" i="14"/>
  <c r="J60" i="14" s="1"/>
  <c r="I59" i="14"/>
  <c r="J59" i="14" s="1"/>
  <c r="I58" i="14"/>
  <c r="J58" i="14" s="1"/>
  <c r="I57" i="14"/>
  <c r="J57" i="14" s="1"/>
  <c r="I56" i="14"/>
  <c r="J56" i="14" s="1"/>
  <c r="I54" i="14"/>
  <c r="J54" i="14" s="1"/>
  <c r="I53" i="14"/>
  <c r="J53" i="14" s="1"/>
  <c r="I52" i="14"/>
  <c r="J52" i="14" s="1"/>
  <c r="I51" i="14"/>
  <c r="J51" i="14" s="1"/>
  <c r="I49" i="14"/>
  <c r="J49" i="14" s="1"/>
  <c r="I48" i="14"/>
  <c r="J48" i="14" s="1"/>
  <c r="I47" i="14"/>
  <c r="J47" i="14" s="1"/>
  <c r="I46" i="14"/>
  <c r="J46" i="14" s="1"/>
  <c r="I45" i="14"/>
  <c r="J45" i="14" s="1"/>
  <c r="I44" i="14"/>
  <c r="J44" i="14" s="1"/>
  <c r="I41" i="14"/>
  <c r="J41" i="14" s="1"/>
  <c r="I40" i="14"/>
  <c r="J40" i="14" s="1"/>
  <c r="I39" i="14"/>
  <c r="J39" i="14" s="1"/>
  <c r="I38" i="14"/>
  <c r="J38" i="14" s="1"/>
  <c r="I37" i="14"/>
  <c r="J37" i="14" s="1"/>
  <c r="I35" i="14"/>
  <c r="J35" i="14" s="1"/>
  <c r="I34" i="14"/>
  <c r="J34" i="14" s="1"/>
  <c r="I33" i="14"/>
  <c r="J33" i="14" s="1"/>
  <c r="I32" i="14"/>
  <c r="J32" i="14" s="1"/>
  <c r="I31" i="14"/>
  <c r="J31" i="14" s="1"/>
  <c r="I30" i="14"/>
  <c r="J30" i="14" s="1"/>
  <c r="I29" i="14"/>
  <c r="J29" i="14" s="1"/>
  <c r="I28" i="14"/>
  <c r="J28" i="14" s="1"/>
  <c r="I27" i="14"/>
  <c r="J27" i="14" s="1"/>
  <c r="I26" i="14"/>
  <c r="J26" i="14" s="1"/>
  <c r="I25" i="14"/>
  <c r="J25" i="14" s="1"/>
  <c r="I24" i="14"/>
  <c r="J24" i="14" s="1"/>
  <c r="I23" i="14"/>
  <c r="J23" i="14" s="1"/>
  <c r="I22" i="14"/>
  <c r="J22" i="14" s="1"/>
  <c r="I21" i="14"/>
  <c r="J21" i="14" s="1"/>
  <c r="I20" i="14"/>
  <c r="J20" i="14" s="1"/>
  <c r="I19" i="14"/>
  <c r="J19" i="14" s="1"/>
  <c r="I18" i="14"/>
  <c r="J18" i="14" s="1"/>
  <c r="I17" i="14"/>
  <c r="J17" i="14" s="1"/>
  <c r="I16" i="14"/>
  <c r="J16" i="14" s="1"/>
  <c r="I15" i="14"/>
  <c r="J15" i="14" s="1"/>
  <c r="I14" i="14"/>
  <c r="J14" i="14" s="1"/>
  <c r="I13" i="14"/>
  <c r="J13" i="14" s="1"/>
  <c r="I12" i="14"/>
  <c r="J12" i="14" s="1"/>
  <c r="I11" i="14"/>
  <c r="J11" i="14" s="1"/>
  <c r="I10" i="14"/>
  <c r="J10" i="14" s="1"/>
  <c r="I9" i="14"/>
  <c r="J9" i="14" s="1"/>
  <c r="I8" i="14"/>
  <c r="J8" i="14" s="1"/>
  <c r="I7" i="14"/>
  <c r="J7" i="14" s="1"/>
  <c r="I6" i="14"/>
  <c r="J6" i="14" s="1"/>
  <c r="I100" i="14" l="1"/>
  <c r="K100" i="14" s="1"/>
  <c r="J100" i="14"/>
  <c r="G29" i="4" l="1"/>
  <c r="G54" i="1" l="1"/>
  <c r="F1" i="14" l="1"/>
  <c r="K6" i="14" l="1"/>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49" i="14"/>
  <c r="K50" i="14"/>
  <c r="K51" i="14"/>
  <c r="K52" i="14"/>
  <c r="K53" i="14"/>
  <c r="K54"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85" i="14"/>
  <c r="K86" i="14"/>
  <c r="K87" i="14"/>
  <c r="K88" i="14"/>
  <c r="K89" i="14"/>
  <c r="K90" i="14"/>
  <c r="K91" i="14"/>
  <c r="K92" i="14"/>
  <c r="K93" i="14"/>
  <c r="K94" i="14"/>
  <c r="K95" i="14"/>
  <c r="K96" i="14"/>
  <c r="K97" i="14"/>
  <c r="K98" i="14"/>
  <c r="K99" i="14"/>
  <c r="C2" i="4" l="1"/>
  <c r="J4" i="6" l="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 i="1"/>
  <c r="S28" i="4"/>
  <c r="S27" i="4"/>
  <c r="S26" i="4"/>
  <c r="S25" i="4"/>
  <c r="S24" i="4"/>
  <c r="S23" i="4"/>
  <c r="S22" i="4"/>
  <c r="S21" i="4"/>
  <c r="S20" i="4"/>
  <c r="S19" i="4"/>
  <c r="S18" i="4"/>
  <c r="S17" i="4"/>
  <c r="S16" i="4"/>
  <c r="S15" i="4"/>
  <c r="S14" i="4"/>
  <c r="S13" i="4"/>
  <c r="S12" i="4"/>
  <c r="S11" i="4"/>
  <c r="S10" i="4"/>
  <c r="S9" i="4"/>
  <c r="S8" i="4"/>
  <c r="S7" i="4"/>
  <c r="S6" i="4"/>
  <c r="S5" i="4"/>
  <c r="S4" i="4"/>
  <c r="P11" i="6"/>
  <c r="H54" i="1"/>
  <c r="K54" i="1" s="1"/>
  <c r="K5" i="6"/>
  <c r="J5" i="6"/>
  <c r="J6" i="6" s="1"/>
  <c r="K4" i="6"/>
  <c r="H29" i="4"/>
  <c r="H6" i="6"/>
  <c r="I6" i="6"/>
  <c r="K6" i="6" s="1"/>
  <c r="G6" i="6"/>
  <c r="B2" i="1"/>
  <c r="K34" i="1" l="1"/>
  <c r="J34" i="1"/>
  <c r="U7" i="4" l="1"/>
  <c r="U12" i="4" l="1"/>
  <c r="K17" i="4"/>
  <c r="U10" i="4"/>
  <c r="U13" i="4"/>
  <c r="U15" i="4" l="1"/>
  <c r="U17" i="4"/>
  <c r="K16" i="4"/>
  <c r="K9" i="4"/>
  <c r="K8" i="4"/>
  <c r="K19" i="4"/>
  <c r="K18" i="4"/>
  <c r="K28" i="4"/>
  <c r="K11" i="4"/>
  <c r="K14" i="4"/>
  <c r="U9" i="4" l="1"/>
  <c r="U16" i="4"/>
  <c r="U14" i="4"/>
  <c r="U18" i="4"/>
  <c r="U19" i="4"/>
  <c r="U11" i="4"/>
  <c r="U8" i="4"/>
  <c r="U6" i="4" l="1"/>
  <c r="K26" i="4" l="1"/>
  <c r="K22" i="4"/>
  <c r="K27" i="4"/>
  <c r="K25" i="4"/>
  <c r="K20" i="4"/>
  <c r="K24" i="4"/>
  <c r="K21" i="4"/>
  <c r="U23" i="4" l="1"/>
  <c r="U21" i="4"/>
  <c r="U20" i="4"/>
  <c r="J29" i="4"/>
  <c r="U22" i="4"/>
  <c r="U5" i="4" l="1"/>
  <c r="U4" i="4" l="1"/>
  <c r="I29" i="4"/>
  <c r="K29" i="4" s="1"/>
  <c r="J53" i="1"/>
  <c r="K53" i="1"/>
  <c r="K49" i="1"/>
  <c r="J49" i="1"/>
  <c r="J28" i="1"/>
  <c r="K28" i="1"/>
  <c r="J17" i="1"/>
  <c r="K17" i="1"/>
  <c r="J48" i="1"/>
  <c r="K48" i="1"/>
  <c r="K42" i="1"/>
  <c r="J42" i="1"/>
  <c r="K37" i="1"/>
  <c r="J37" i="1"/>
  <c r="K27" i="1"/>
  <c r="J27" i="1"/>
  <c r="J20" i="1"/>
  <c r="K20" i="1"/>
  <c r="J16" i="1"/>
  <c r="K16" i="1"/>
  <c r="J8" i="1"/>
  <c r="K8" i="1"/>
  <c r="J47" i="1"/>
  <c r="K47" i="1"/>
  <c r="K31" i="1"/>
  <c r="J31" i="1"/>
  <c r="K26" i="1"/>
  <c r="J26" i="1"/>
  <c r="J15" i="1"/>
  <c r="K15" i="1"/>
  <c r="J38" i="1"/>
  <c r="K38" i="1"/>
  <c r="J30" i="1"/>
  <c r="K30" i="1"/>
  <c r="J25" i="1"/>
  <c r="K25" i="1"/>
  <c r="J14" i="1"/>
  <c r="K14" i="1"/>
  <c r="K6" i="1"/>
  <c r="J6" i="1"/>
  <c r="K21" i="1"/>
  <c r="J21" i="1"/>
  <c r="K51" i="1"/>
  <c r="J51" i="1"/>
  <c r="K46" i="1"/>
  <c r="J46" i="1"/>
  <c r="K23" i="1"/>
  <c r="J23" i="1"/>
  <c r="J13" i="1"/>
  <c r="K13" i="1"/>
  <c r="K22" i="1"/>
  <c r="J22" i="1"/>
  <c r="K12" i="1"/>
  <c r="J12" i="1"/>
  <c r="K50" i="1"/>
  <c r="J50" i="1"/>
  <c r="J44" i="1"/>
  <c r="K44" i="1"/>
  <c r="J19" i="1"/>
  <c r="K19" i="1"/>
  <c r="K11" i="1"/>
  <c r="J11" i="1"/>
  <c r="J43" i="1"/>
  <c r="K43" i="1"/>
  <c r="J29" i="1"/>
  <c r="K29" i="1"/>
  <c r="K18" i="1"/>
  <c r="J18" i="1"/>
  <c r="J24" i="1" l="1"/>
  <c r="K24" i="1"/>
  <c r="J9" i="1"/>
  <c r="K9" i="1"/>
  <c r="J52" i="1"/>
  <c r="K52" i="1"/>
  <c r="J5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tc={79A1C6D7-729C-E14B-A6A3-9B799C4B6802}</author>
  </authors>
  <commentList>
    <comment ref="P5" authorId="0" shapeId="0" xr:uid="{79A1C6D7-729C-E14B-A6A3-9B799C4B6802}">
      <text>
        <t>[Threaded comment]
Your version of Excel allows you to read this threaded comment; however, any edits to it will get removed if the file is opened in a newer version of Excel. Learn more: https://go.microsoft.com/fwlink/?linkid=870924
Comment:
    Buat sebagai target dan aktual pelaksanaan:
Hydrotest: xx Mei 2026 (done xxx/05)
Flushing: 19 Mei 2026
 (done xxx/o5)
Tescom: 25 Mei 2026
MC-100:  1 Juni 2026
DPPP:  8 Juni 2026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tc={79A1C6D7-729C-E14C-A6A3-9B799C4B6802}</author>
  </authors>
  <commentList>
    <comment ref="N2" authorId="0" shapeId="0" xr:uid="{997B2319-2F42-4B3C-B383-D93D66C892AB}">
      <text>
        <t>[Threaded comment]
Your version of Excel allows you to read this threaded comment; however, any edits to it will get removed if the file is opened in a newer version of Excel. Learn more: https://go.microsoft.com/fwlink/?linkid=870924
Comment:
    Buat sebagai target dan aktual pelaksanaan:
Hydrotest: xx Mei 2026 (done xxx/05)
Flushing: 19 Mei 2026
 (done xxx/o5)
Tescom: 25 Mei 2026
MC-100:  1 Juni 2026
DPPP:  8 Juni 2026</t>
      </text>
    </comment>
  </commentList>
</comments>
</file>

<file path=xl/sharedStrings.xml><?xml version="1.0" encoding="utf-8"?>
<sst xmlns="http://schemas.openxmlformats.org/spreadsheetml/2006/main" count="2621" uniqueCount="771">
  <si>
    <t>No</t>
  </si>
  <si>
    <t>SPAM</t>
  </si>
  <si>
    <t>Directorat</t>
  </si>
  <si>
    <t>Kode Program</t>
  </si>
  <si>
    <t>Nama Program</t>
  </si>
  <si>
    <t>RAB Jaringan</t>
  </si>
  <si>
    <t>Status Pekerjaan Saat ini</t>
  </si>
  <si>
    <t>Pipa DED
(m)</t>
  </si>
  <si>
    <t>Aktual Pipa (m)</t>
  </si>
  <si>
    <t>Sisa Pekerjaan</t>
  </si>
  <si>
    <t>Progress</t>
  </si>
  <si>
    <t>Kategori Keterlambatan</t>
  </si>
  <si>
    <t>Kronologis Keterlambatan</t>
  </si>
  <si>
    <t>Kondisi Saat Ini</t>
  </si>
  <si>
    <t>DPPP</t>
  </si>
  <si>
    <t>Recovery Plan</t>
  </si>
  <si>
    <t>Tanggal Terbit IPPJU</t>
  </si>
  <si>
    <t>Target IPPJU</t>
  </si>
  <si>
    <t>Deviasi IPPJU</t>
  </si>
  <si>
    <t>Delay PR ABJ</t>
  </si>
  <si>
    <t>Review PR ABJ</t>
  </si>
  <si>
    <t>Delay PO ABJ</t>
  </si>
  <si>
    <t>Review PO ABJ</t>
  </si>
  <si>
    <t>Delay PR Material</t>
  </si>
  <si>
    <t>Review PR Material BPM</t>
  </si>
  <si>
    <t>Delay PR Jasa BPM</t>
  </si>
  <si>
    <t>Review PR Jasa BPM</t>
  </si>
  <si>
    <t>Delay PO Jasa BPM</t>
  </si>
  <si>
    <t>Review PO Jasa BPM</t>
  </si>
  <si>
    <t>Delay Izin</t>
  </si>
  <si>
    <t>Review Izin</t>
  </si>
  <si>
    <t>Delay PCM</t>
  </si>
  <si>
    <t>Review PCM</t>
  </si>
  <si>
    <t>Delay Kick Off</t>
  </si>
  <si>
    <t>Review Kick Off</t>
  </si>
  <si>
    <t>Delay MC-0</t>
  </si>
  <si>
    <t>Review MC-0</t>
  </si>
  <si>
    <t>Delay Konstruksi</t>
  </si>
  <si>
    <t>Review Konstruksi</t>
  </si>
  <si>
    <t>Delay TC</t>
  </si>
  <si>
    <t>Status TC</t>
  </si>
  <si>
    <t>Delay MC-100</t>
  </si>
  <si>
    <t>Review MC-100</t>
  </si>
  <si>
    <t>Delay DPPP</t>
  </si>
  <si>
    <t>Review DPPP</t>
  </si>
  <si>
    <t>Status PO Material</t>
  </si>
  <si>
    <t>Buaran 3 Hilir</t>
  </si>
  <si>
    <t>PMO 2</t>
  </si>
  <si>
    <t>NPP23BURP01A</t>
  </si>
  <si>
    <t>P1A - Jl Pahlawan Revolusi DN600</t>
  </si>
  <si>
    <t>Proses Konstruksi</t>
  </si>
  <si>
    <t>Izin</t>
  </si>
  <si>
    <t>Mulai pekerjaan terlambat, IPPJU belum terbit pada saat pelaksanaan pekerjaan konstruksi yang seharusnya mulai pada tanggal 29 Sep 25. Upload JAKEVO tanggal IPPJU 19 Jul 25, IPPJU terbit tanggal 13 Feb 26. Terlambat 166 Hkal dari target</t>
  </si>
  <si>
    <t>Sudah, OnSchedule</t>
  </si>
  <si>
    <t>Sudah, Delay</t>
  </si>
  <si>
    <t>Belum, Delay</t>
  </si>
  <si>
    <t>Belum</t>
  </si>
  <si>
    <t>NPP23BURP12</t>
  </si>
  <si>
    <t>P12 - Ps Rebo DN1000</t>
  </si>
  <si>
    <t>1. Izin crossing toll dari Jasa Marga belum keluar karena perpanjangan MoU antara PAM Jaya &amp; Jasa Marga belum release.</t>
  </si>
  <si>
    <t xml:space="preserve">Hydrotest: 2 Juni 2026
Interkoneksi: 9 Juni 2026
Flushing: 16 Juni 2026
Tescom: 23 Juni 2026
MC-100: 30 Juni 2026
DPPP: 3 Juli 2026
</t>
  </si>
  <si>
    <t>Sudah</t>
  </si>
  <si>
    <t>NPP23BURS02</t>
  </si>
  <si>
    <t>S2 - Jl Mabes Hankam DN500</t>
  </si>
  <si>
    <t>Flushing</t>
  </si>
  <si>
    <t>Mulai pekerjaan terlambat. IPPJU belum terbit saat jadwal pelaksanaan konstruksi tanggal 29 Sep 25. Upload JakEvo 4 Aug 25, IPPJU terbit 9 Feb 26. Terlambat 135 hari dari target</t>
  </si>
  <si>
    <t>PMO 1</t>
  </si>
  <si>
    <t>24ABJ.NINBUR145</t>
  </si>
  <si>
    <t>PC 145</t>
  </si>
  <si>
    <t>Izin, Material &amp; Teknis</t>
  </si>
  <si>
    <t>1. Mulai pekerjaan terlambat, IPPJU belum terbit pada saat pelaksanaan pekerjaan konstruksi yang seharusnya mulai pada tanggal 3 Nov 25. Upload JAKEVO tanggal 22 Aug 25, IPPJU terbit tanggal 11 Mei 26. Terlambat 190 Hkal dari target.
2. Adanya penambahan Jalur akibat perubahan desain dari crossing sungai kalimalang. Saat ini proses pengurusan izin penambahan jalur tersebut.
4. Material terlambat MOS (terutama material Tee DCI), material tersebut sudah MOS semua per tgl 16 Maret 2026.</t>
  </si>
  <si>
    <t xml:space="preserve">Hydrotest: 1 Juni 2026
Interkoneksi: 8 Juni 2026
Flushing: 15 Juni 2026
Tescom: 22 Juni 2026
MC-100: 29 Juni 2026
DPPP: 3 Juli 2026
</t>
  </si>
  <si>
    <t>24ABJ.NINBUR156</t>
  </si>
  <si>
    <t>PC 156</t>
  </si>
  <si>
    <t>Izin &amp; Teknis</t>
  </si>
  <si>
    <t>1. Mulai pekerjaan terlambat, IPPJU belum terbit pada saat pelaksanaan pekerjaan konstruksi yang seharusnya mulai pada tanggal 1 Des 25. Upload JAKEVO tanggal 22 Aug 25, IPPJU terbit tanggal 11 Mei 26. Terlambat 162 Hkal dari target.
2. Pada saat pengurusan izin lingkungan pertama ke RW, pihak RW belum mengizinkan karena ada area yang belum tercakup pada DED.
3. Penambahan scope sudah dibuatkan DED baru dan masuk program TOK Oct 26.
4. Pihak RW sudah mengijinkan untuk dikerjakan setelah lebaran</t>
  </si>
  <si>
    <t>24ABJ.NINBUR161JPEZ1</t>
  </si>
  <si>
    <t>PC 161 - EZ 1</t>
  </si>
  <si>
    <t>Tes Com</t>
  </si>
  <si>
    <t>1. Mulai pekerjaan terlambat, IPPJU belum terbit pada saat pelaksanaan pekerjaan konstruksi yang seharusnya mulai pada tanggal 1 Sep 25. Upload JAKEVO tanggal 14 Aug 25, IPPJU terbit tanggal 17 Mar 26. Terlambat 198 Hkal dari target.
2. Terdapat 1 titik interkoneksi pipa existing belum ditemukan. Sudah dilakukan Test Pit dan survey bersama antara ABJ, PAM Jaya &amp; KPI dan s/d saat ini pipa belum juga ditemukan. AKhirnya diputuskan untuk di dop dan dibuatkan justifikasi teknis.
3. Pemberhentian pekerjaan oleh DBM karena menurut DBM aspek K3 belum terpenuhi</t>
  </si>
  <si>
    <t>24ABJ.NINBUR161JPEZ2</t>
  </si>
  <si>
    <t>PC 161 - EZ 2</t>
  </si>
  <si>
    <t>Izin &amp; Material</t>
  </si>
  <si>
    <t>1. Mulai pekerjaan terlambat, IPPJU belum terbit pada saat pelaksanaan pekerjaan konstruksi yang seharusnya mulai pada tanggal 1 Sep 25. Upload JAKEVO tanggal 14 Aug 25, IPPJU terbit tanggal 11 Mei 26. Terlambat 253 Hkal dari target.
2. Selain itu, perizinan lingkungan baru mengizinkan pekerjaan dimulai dipertengahan bulan Januari 2026
3. Material yang belum MOS : Bend, Coupling, Tee &amp; Surface box</t>
  </si>
  <si>
    <t>24ABJ.NINBUR161JPEZ3</t>
  </si>
  <si>
    <t>PC 161 - EZ 3</t>
  </si>
  <si>
    <t>1. Mulai pekerjaan terlambat, IPPJU belum terbit pada saat pelaksanaan pekerjaan konstruksi yang seharusnya mulai pada tanggal 1 Sep 25. Upload JAKEVO tanggal IPPJU 9 Sep 25, IPPJU terbit tanggal 11 Mei 26. Terlambat 253 Hkal dari target.
2. Selain itu, ada perizinan crossing sungai belum terbit sampai konstruksi dimulai.
3. Sebagian material aksesoris material belum MOS (terkhusus material DCI perlu dilakukan percepatan)</t>
  </si>
  <si>
    <t xml:space="preserve">Hydrotest: 1 Juni 2026
Interkoneksi: 8 Juni 2026
Flushing: 15 Juni 2026
Tescom: 22 Juni 2026
MC-100: 29 Juni 2026
DPPP: 3 Juli 2026
</t>
  </si>
  <si>
    <t>24ABJ.NINBUR161JPEZ4</t>
  </si>
  <si>
    <t>PC 161 - EZ 4</t>
  </si>
  <si>
    <t>1. Mulai pekerjaan terlambat, IPPJU belum terbit pada saat pelaksanaan pekerjaan konstruksi yang seharusnya mulai pada tanggal 1 Sep 25. Upload JAKEVO tanggal IPPJU 18 Sep 25, IPPJU terbit tanggal 7 Apr 26. Terlambat 219 Hkal dari target.
2. Sebagian material aksesoris material belum MOS (terkhusus material DCI perlu dilakukan percepatan)</t>
  </si>
  <si>
    <t>24ABJ.NINBUR161JPEZ6</t>
  </si>
  <si>
    <t>PC 161 - EZ 6</t>
  </si>
  <si>
    <t>1. Mulai pekerjaan terlambat, IPPJU belum terbit pada saat pelaksanaan pekerjaan konstruksi yang seharusnya mulai pada tanggal 1 Sep 25. Upload JAKEVO tanggal IPPJU 18 Sep 25, IPPJU terbit tanggal 7 Mei 26. Terlambat 249 Hkal dari target.
2. Sebagian material aksesoris material belum terbit (terkhusus material DCI perlu dilakukan percepatan)
3. Terdapat septic tank warga pada jalur pipa yang direncanakan</t>
  </si>
  <si>
    <t>24ABJ.NINBUR161JPEZ7</t>
  </si>
  <si>
    <t>PC 161 - EZ 7</t>
  </si>
  <si>
    <t xml:space="preserve">Mulai pekerjaan terlambat, IPPJU belum terbit pada saat pelaksanaan pekerjaan konstruksi yang seharusnya mulai pada tanggal 1 Sep 25, baru dimulai tanggal 5 Jan 26 (test pit). Upload JAKEVO tanggal IPPJU 18 Sep 25, IPPJU terbit tanggal 8 Mei 26. Terlambat 250 Hkal dari target.
</t>
  </si>
  <si>
    <t>24ABJ.NINBUR161JPEZ8</t>
  </si>
  <si>
    <t>PC 161 - EZ 8</t>
  </si>
  <si>
    <t>1. Mulai pekerjaan terlambat, IPPJU belum terbit pada saat pelaksanaan pekerjaan konstruksi yang seharusnya mulai pada tanggal 1 Sep 25. Upload JAKEVO tanggal IPPJU 9 Sep 25, IPPJU terbit tanggal 11 Mei 26. Terlambat 253 Hkal dari target.
2. Sebagian material pipa &amp; aksesoris belum MOS</t>
  </si>
  <si>
    <t xml:space="preserve">Interkoneksi: 8 Juni 2026
Flushing: 15 Juni 2026
Tescom: 22 Juni 2026
MC-100: 29 Juni 2026
DPPP: 3 Juli 2026
</t>
  </si>
  <si>
    <t>24ABJ.NINBUR161JPEZ11</t>
  </si>
  <si>
    <t>PC 161 - EZ 11</t>
  </si>
  <si>
    <t>Hydrotest</t>
  </si>
  <si>
    <t xml:space="preserve">1. Mulai pekerjaan terlambat, IPPJU belum terbit pada saat pelaksanaan pekerjaan konstruksi yang seharusnya mulai pada tanggal 1 Sep 25, baru dimulai tanggal 5 Des 25 (test pit). Upload JAKEVO tanggal IPPJU 8 Aug 25, IPPJU terbit tanggal 26 Mar 26. Terlambat 207 Hkal dari target.
2. Material belum MOS: Surface Box (estimasi MOS tgl 30 Apr 26)
</t>
  </si>
  <si>
    <t>24ABJ.NINBUR161JPEZ12</t>
  </si>
  <si>
    <t>PC 161 - EZ 12</t>
  </si>
  <si>
    <t>1. Mulai pekerjaan terlambat, IPPJU belum terbit pada saat pelaksanaan pekerjaan konstruksi yang seharusnya mulai pada tanggal 1 Sep 25, baru dimulai tanggal 2 Feb 26 (test pit). Upload JAKEVO tanggal IPPJU 18 Sep 25, IPPJU terbit tanggal 4 Mei 26. Terlambat 246 Hkal dari target.
2. Material belum MOS: Surface Box (estimasi MOS tgl 30 Apr 26)</t>
  </si>
  <si>
    <t>Hydrotest: 1 Juni 2026 
Interkoneksi: 8 Juni 2026
Flushing: 15 Juni 2026
Tescom: 22 Juni 2026
MC-100: 29 Juni 2026
DPPP: 3 Juli 2026</t>
  </si>
  <si>
    <t>24ABJ.NPPBUR161JP</t>
  </si>
  <si>
    <t>PC 161 - JDU</t>
  </si>
  <si>
    <t xml:space="preserve">1. Mulai pekerjaan terlambat, IPPJU belum terbit pada saat pelaksanaan pekerjaan konstruksi yang seharusnya mulai pada tanggal 1 Sep 25. Upload JAKEVO tanggal IPPJU 18 Sep 25, IPPJU terbit tanggal 13 Feb 26. Terlambat 166 Hkal dari target.
2. Selain itu, ada perijinan crossing sungai yang belum terbit. Masih dalam proses rekomtek 
</t>
  </si>
  <si>
    <t>Hydrotest: 1 Juni 2026
Interkoneksi: 8 Juni 2026
Flushing: 15 Juni 2026
Tescom: 22 Juni 2026
MC-100: 29 Juni 2026
DPPP: 3 Juli 2026</t>
  </si>
  <si>
    <t>23ABJ.NINBUR163.2JP</t>
  </si>
  <si>
    <t>PC 163 Kalisari (Pak Endriartono)</t>
  </si>
  <si>
    <t>1. Mulai pekerjaan terlambat, IPPJU belum terbit pada saat pelaksanaan pekerjaan konstruksi yang seharusnya mulai pada tanggal 1 Sep 25. Upload JAKEVO tanggal IPPJU 1 Jul 25, IPPJU terbit tanggal 11 Mei 26. Terlambat 253 Hkal dari target
2. Material belum MOS: Coupling DCI &amp; Loose Flange Steel (Estimasi MOS 15 Mei 26)</t>
  </si>
  <si>
    <t>Hydrotest: 1 Juni 2026
Interkoneksi: 8 Juni 2026
Flushing: 15 Juni 2026
Tescom: 22 Juni 2026
MC-100: 29 Juni 2026
DPPP: 2 Juli 2026</t>
  </si>
  <si>
    <t>Jatiluhur Hilir</t>
  </si>
  <si>
    <t>24ABJ.NPPJTCLW010JR</t>
  </si>
  <si>
    <t>TMCL-10</t>
  </si>
  <si>
    <t>1. Perijinan masih dalam proses penerbitan oleh IPPJU, Perijinan Crossing Rel KAI belum terbit. Tambahan terdapat jalur pipa yang melewati area kantor BIN dan perlu surat permohonan yang saat ini sirkuler di pihak PAM Jaya
2. Sebagian material pipa &amp; aksesoris belum MOS (terkhusus material DCI perlu dilakukan percepatan). Terdapat material tambahan reducer dan bend DCI dia. 600x400 untuk interkoneksi ke pipa eksisting</t>
  </si>
  <si>
    <t>Hydrotest: 30 Aug 2026
Flushing dilakukan bersamaan dengan Tes Com IPA Ciliwung</t>
  </si>
  <si>
    <t>24ABJ.NPPJTCLW011JR</t>
  </si>
  <si>
    <t>TMCL-11</t>
  </si>
  <si>
    <t>1. Mulai pekerjaan terlambat, IPPJU belum terbit pada saat pelaksanaan pekerjaan konstruksi yang seharusnya mulai pada tanggal 28 Juli 25. Upload JAKEVO tanggal 19 Mei 25, IPPJU terbit tanggal 1 Apr 26. Terlambat 248 Hkal dari target.
2. Sebagian material aksesoris belum MOS</t>
  </si>
  <si>
    <t>24ABJ.NPPJTCLW010.1JR</t>
  </si>
  <si>
    <t>TMCL-10.1 (Interkoneksi Pipa SPAM Ciliwung Hilir - Pipa Eksisting)</t>
  </si>
  <si>
    <t>MC-0</t>
  </si>
  <si>
    <t>1. Perijinan masih dalam proses penerbitan oleh IPPJU, Perijinan Crossing Rel KAI belum realease. Tambahan terdapat jalur pipa yang melewati area kantor BIN dan perlu surat permohonan yang saat ini sirkuler di pihak PAM Jaya
2. Sebagian material pipa &amp; aksesoris belum MOS (terkhusus material DCI perlu dilakukan percepatan). Terdapat material tambahan reducer dan bend DCI dia. 600x400 untuk interkoneksi ke pipa eksisting</t>
  </si>
  <si>
    <t>24ABJ.NPPJTCLW010.2JR</t>
  </si>
  <si>
    <t>TMCL-10.2 (Pipa Input PA S001.04)</t>
  </si>
  <si>
    <t>1. Perijinan masih dalam proses penerbitan oleh IPPJU, Perijinan Crossil Rel KAI belum realease. Tambahan terdapat jalur pipa yang melewati area kantor BIN dan perlu surat permohonan yang saat ini sirkuler di pihak PAM Jaya
2. Sebagian material pipa &amp; aksesoris belum MOS (terkhusus material DCI perlu dilakukan percepatan). Terdapat material tambahan reducer dan bend DCI dia. 600x400 untuk interkoneksi ke pipa eksisting</t>
  </si>
  <si>
    <t>24ABJ.NINJTS011CLW.01JR</t>
  </si>
  <si>
    <t>PA S011.01</t>
  </si>
  <si>
    <t>Dampak dari perizinan TMCL yg belum selesai sehingga project tidak bisa diselesaikan</t>
  </si>
  <si>
    <t xml:space="preserve">Flushing dilakukan bersamaan dengan Tes Com IPA Ciliwung
</t>
  </si>
  <si>
    <t>24ABJ.NINJTS011CLW.02JR</t>
  </si>
  <si>
    <t>PA S011.02</t>
  </si>
  <si>
    <t>1. Izin lingkungan baru didapatkan pada bulan Januari setelah dari kelurahan melakukan evaluasi terhadap pekerjaan S011.1
2. Dampak dari perizinan TMCL yg belum selesai sehingga project tidak bisa diselesaikan</t>
  </si>
  <si>
    <t>Hydrotest: 11 Juni 2026
Flushing dilakukan bersamaan dengan Tes Com IPA Ciliwung</t>
  </si>
  <si>
    <t>24ABJ.NINJTS011CLW.03JR</t>
  </si>
  <si>
    <t>PA S011.03</t>
  </si>
  <si>
    <t xml:space="preserve">Hydrotest: 30 Juni 2026
Flushing dilakukan bersamaan dengan Tes Com IPA Ciliwung
</t>
  </si>
  <si>
    <t>24ABJ.NINJTS011CLW.04JR</t>
  </si>
  <si>
    <t>PA S011.04</t>
  </si>
  <si>
    <t>Hydrotest: 30 Juni 2026
Flushing dilakukan bersamaan dengan Tes Com IPA Ciliwung</t>
  </si>
  <si>
    <t>24ABJ.NINJTS001CLW.04JR</t>
  </si>
  <si>
    <t>PA S001.04</t>
  </si>
  <si>
    <t>24ABJ.NINJTS012.1JR</t>
  </si>
  <si>
    <t>S012 Tebet Utara 1 RW 10</t>
  </si>
  <si>
    <t>1. Terdapat kendala izin dengan kelurahan pada satu ruas jalur pipa sepanjang 265 m</t>
  </si>
  <si>
    <t>24ABJ.NINJTS001.8JR</t>
  </si>
  <si>
    <t>S001 McD Jati Padang (PT Resko National Food)</t>
  </si>
  <si>
    <t>1. Mulai pekerjaan terlambat, IPPJU belum terbit pada saat pelaksanaan pekerjaan konstruksi yang seharusnya mulai pada tanggal 24 Nov 25. Upload JAKEVO tanggal 6 Aug 25, IPPJU terbit tanggal 4 Mei 26. Terlambat 162 Hkal dari target.
2. Selain itu, ada perizinan crossing sungai yang belum terbit</t>
  </si>
  <si>
    <t>24ABJ.NINJTP001.1JR</t>
  </si>
  <si>
    <t>P001 Ruswandi</t>
  </si>
  <si>
    <t>Subkon</t>
  </si>
  <si>
    <t xml:space="preserve">1. Mulai pekerjaan terlambat, IPPJU belum terbit pada saat pelaksanaan pekerjaan konstruksi yang seharusnya mulai pada tanggal 27 Okt 25. Upload JAKEVO tanggal 1 Juli 25, IPPJU terbit tanggal 11 Mei 26. Terlambat 197 Hkal dari target.
2. Kemudian, adanya penolakan dari lingkungan karena izin resmi belum terbit. 
3. Subkon diganti dari PT BDH ke PT CAD karena subkon BDH mengundurkan diri.
</t>
  </si>
  <si>
    <t>24ABJ.NINJT076.01JR</t>
  </si>
  <si>
    <t>PC 076 Kalibaru Barat RT 11 RW 7</t>
  </si>
  <si>
    <t xml:space="preserve">1. Mulai pekerjaan terlambat, IPPJU belum terbit pada saat pelaksanaan pekerjaan konstruksi yang seharusnya mulai pada tanggal 27 Okt 25. Upload JAKEVO tanggal 1 Juli 25, IPPJU terbit tanggal 22 Apr 26. Terlambat 178 Hkal dari target.
2. Kemudian, adanya penolakan dari lingkungan karena izin resmi belum terbit. 
3. Subkon diganti dari PT BDH ke Spectra karena subkon BDH mengundurkan diri.
</t>
  </si>
  <si>
    <t>24ABJ.NINJT068.6JR</t>
  </si>
  <si>
    <t>PC 068 GOR Cakung Barat</t>
  </si>
  <si>
    <t xml:space="preserve">1. Mulai pekerjaan terlambat, IPPJU belum terbit pada saat pelaksanaan pekerjaan konstruksi yang seharusnya mulai pada tanggal 24 Nov 25. Upload JAKEVO tanggal 2 Juli 25, IPPJU terbit tanggal 31 Mar 26. Terlambat 128 Hkal dari target.
2. Pihak RT &amp; RW tidak mengizinkan pekerjaan pemasangan pipa karena terkait janji pemilik GOR belum ditepati.
3. Adanya penggantian subkon dari BDH ke CAD karena subkon sebelumnya mengundurkan diri.
</t>
  </si>
  <si>
    <t>24ABJ.NINJTP008.11JR</t>
  </si>
  <si>
    <t>P008 PT Honor Decoration International</t>
  </si>
  <si>
    <t>Verifikasi MC-100</t>
  </si>
  <si>
    <t xml:space="preserve">1. Mulai pekerjaan terlambat, IPPJU belum terbit pada saat pelaksanaan pekerjaan konstruksi yang seharusnya mulai pada tanggal 24 Nov 25. Upload JAKEVO tanggal 30 Juni 25, IPPJU terbit tanggal 12 Mar 26. Terlambat 109 Hkal dari target.
1. Subkon mundur dari pekerjaan
</t>
  </si>
  <si>
    <t>25ABJ.NINJTB003.1JE</t>
  </si>
  <si>
    <t>B003 Dedy Rahyansyah</t>
  </si>
  <si>
    <t xml:space="preserve">1. Mulai pekerjaan terlambat, IPPJU belum terbit pada saat pelaksanaan pekerjaan konstruksi yang seharusnya mulai pada tanggal 27 Okt 25. Upload JAKEVO tanggal 1 Juli 25, IPPJU terbit tanggal 22 Apr 26. Terlambat 178 Hkal dari target.
2. Kemudian, adanya penolakan dari lingkungan karena izin resmi belum terbit. 
3. Subkon diganti dari PT BDH ke PT CAD karena subkon BDH mengundurkan diri.
</t>
  </si>
  <si>
    <t>24ABJ.NINJT096.1JR</t>
  </si>
  <si>
    <t>Master Meter Syamsudin</t>
  </si>
  <si>
    <t>Teknis</t>
  </si>
  <si>
    <t>1. Mulai pekerjaan terlambat, IPPJU belum terbit pada saat pelaksanaan pekerjaan konstruksi yang seharusnya mulai pada tanggal 27 Okt 25. Upload JAKEVO tanggal 16 Okt 25, IPPJU terbit tanggal 23 Apr 26. Terlambat 179 Hkal dari target.
1. Dari hasil test pit yang diperoleh, direncanakan untuk perubahan metode pekerjaan. Saat ini dalam proses penyusunan Proposal Modifikasi dan akan bersurat terkait perubahan
2. Subkon menolak untuk bekerja dengan PO yang belum disesuaikan terhadap perubahan. Subkon sudah diganti menjadi CAD.</t>
  </si>
  <si>
    <t>Hydrotest: 2 Juni 2026
Interkoneksi: 5 Juni 2026
Flushing: 8 Juni 2026
Tescom: 12 Juni 2026
MC-100: 19 Juni 2026
DPPP: 30 Juni 2026</t>
  </si>
  <si>
    <t>24ABJ.NINJT096.1.1JR</t>
  </si>
  <si>
    <t>Master Meter Syamsudin - Reinforcement</t>
  </si>
  <si>
    <t>1. Mulai pekerjaan terlambat, IPPJU belum terbit pada saat pelaksanaan pekerjaan konstruksi yang seharusnya mulai pada tanggal 27 Okt 25. Upload JAKEVO tanggal 16 Okt 25, IPPJU terbit tanggal 23 Apr 26. Terlambat 179 Hkal dari target.
2. Dari hasil test pit yang diperoleh, direncanakan untuk perubahan metoda pekerjaan. Saat ini dalam proses penyusunan Proposal Modifikasi dan akan bersurat terkait perubahan
3. Subkon menolak untuk bekerja dengan PO yang belum disesuaikan terhadap perubahan</t>
  </si>
  <si>
    <t>24ABJ.NINJT076.02JR</t>
  </si>
  <si>
    <t>Master Meter Hasnawati, Kalo, dan Sudirman</t>
  </si>
  <si>
    <t>1. Mulai pekerjaan terlambat, IPPJU belum terbit pada saat pelaksanaan pekerjaan konstruksi yang seharusnya mulai pada tanggal 27 Okt 25. Upload JAKEVO tanggal 9 Sep 25, IPPJU terbit tanggal 2 Apr 26. Terlambat 158 Hkal dari target.
2. Pipa existing untuk interkoneksi tidak ditemukan.</t>
  </si>
  <si>
    <t>24ABJ.NINJT068.2JR</t>
  </si>
  <si>
    <t>PC 068 Tipar Cakung</t>
  </si>
  <si>
    <t xml:space="preserve">Mulai pekerjaan terlambat, IPPJU belum terbit pada saat pelaksanaan pekerjaan konstruksi yang seharusnya mulai pada tanggal 24 Nov 25. Upload JAKEVO tanggal 13 Okt 25, IPPJU terbit tanggal 5 Mei 26. Terlambat 163 Hkal dari target.
</t>
  </si>
  <si>
    <t>24ABJ.NINJT070.6JR</t>
  </si>
  <si>
    <t>PC 070  Kawasan JGC</t>
  </si>
  <si>
    <t>1. Mulai pekerjaan terlambat, IPPJU belum terbit pada saat pelaksanaan pekerjaan konstruksi yang seharusnya mulai pada tanggal 1 Des 25. Upload JAKEVO tanggal 13 Okt 25, IPPJU terbit tanggal 2 Apr 26. Terlambat 123 Hkal dari target.
2. Terkendala masalah retribusi, pada paket Rorotan sudah diberikan retribusi &amp; jaminan sebesar 50 jt, namun jaminan tersebut tidak dikembalikan. Saat ini BPM keberetan untuk memberikan jaminan &amp; retribusi sebesar 15 jt berkaitan dengan hal tersebut.</t>
  </si>
  <si>
    <t>25ABJ.NINJTP004.1JR</t>
  </si>
  <si>
    <t>P004 Jl Tomang Pulo RT 002 RW 05</t>
  </si>
  <si>
    <t>1. Mulai pekerjaan terlambat, IPPJU belum terbit pada saat pelaksanaan pekerjaan konstruksi yang seharusnya mulai pada tanggal 26 Jan 26. Upload JAKEVO tanggal 10 Okt 25, IPPJU terbit tanggal 4 Mei 26. Terlambat 99 Hkal dari target.
2. Terkendala perijinan jalur pipa pada Area Dinas Perkim. PAM Jaya perlu menyampaikan permohonan</t>
  </si>
  <si>
    <t>Karian Serpong Hilir</t>
  </si>
  <si>
    <t>24ABJ.NINKARB006.10JE</t>
  </si>
  <si>
    <t>B006 Ibu Elly</t>
  </si>
  <si>
    <t xml:space="preserve">1. Mulai pekerjaan terlambat, IPPJU belum terbit pada saat pelaksanaan pekerjaan konstruksi yang seharusnya mulai pada tanggal 29 Sep 25. Upload JAKEVO tanggal 30 Juni 25, IPPJU terbit tanggal 13 Mar 26. Terlambat 166 Hkal dari target.
2. Sebagian material aksesoris belum MOS
3. GIS PAM Jaya tidak sesuai dengan kondisi eksisting. Perlu penambahan tarikan pipa
</t>
  </si>
  <si>
    <t>Hydrotest: 2 Juni 2026
Flushing: 9 Juni 2026
Tescom: 15 Juni 2026
MC-100: 22 Juni 2026
DPPP: 29 Juni 2026</t>
  </si>
  <si>
    <t>24ABJ.NINKARBN00.1JE</t>
  </si>
  <si>
    <t>BN00 PT Lumas Jaya Industri &amp; PT Honda Mugen</t>
  </si>
  <si>
    <t>Mulai pekerjaan terlambat, IPPJU belum terbit pada saat pelaksanaan pekerjaan konstruksi yang seharusnya mulai pada tanggal 29 Sep 25. Upload JAKEVO tanggal 30 Juni 25, IPPJU terbit tanggal 13 Mar 26. Terlambat 166 Hkal dari target.</t>
  </si>
  <si>
    <t>24ABJ.NINKARBN02.1JE</t>
  </si>
  <si>
    <t>BN02 PT Artha Citra Hutama</t>
  </si>
  <si>
    <t>1. Mulai pekerjaan terlambat, IPPJU belum terbit pada saat pelaksanaan pekerjaan konstruksi yang seharusnya mulai pada tanggal 29 Sep 25. Upload JAKEVO tanggal 26 Mei 25, IPPJU terbit tanggal 11 Mei 26. Terlambat 225 Hkal dari target.
2. Perizinan developer baru didapatkan pada minggu pertama bulan Desember
3. Ada perubahan titik inlet karena titik inlet sesuai DED tidak dizinkan oleh developer sehingga secara sistem harus di remodelling</t>
  </si>
  <si>
    <t>23ABJ.NPPKAR036JE</t>
  </si>
  <si>
    <t>P36 Daan Mogot (DN500)</t>
  </si>
  <si>
    <t>1. Mulai pekerjaan terlambat, IPPJU belum terbit pada saat pelaksanaan pekerjaan konstruksi yang seharusnya mulai pada tanggal 28 Juli 25. Upload JAKEVO tanggal 5 Juli 2023, IPPJU terbit tanggal 27 Feb 24. Terlambat 237 Hkal dari target. 
2. IPPJU yang sudah terbit pada tahun 2024 harus dilakukan pengurusan ulang karena masa izin konstruksinya sudah habis.
3. Sebagian material pipa &amp; aksesoris belum MOS (terkhusus material DCI perlu dilakukan percepatan)
4. Terdapat jalur pipa pada satu area yang meminta kompensasi sebesar 25 Jt.Saat ini PAM Jaya sedang dalam proses koordinasi dengan RW Setempat</t>
  </si>
  <si>
    <t xml:space="preserve">Hydrotest: 8 Juni 2026
Flushing: 15 Junii 2026
Tescom: 22 Juni 2026
MC-100: 29 Juni 2026
DPPP: 3 Juli 2026
</t>
  </si>
  <si>
    <t>25ABJ.NINKARB020.2JE</t>
  </si>
  <si>
    <t>B020 Distribusi Daan Mogot</t>
  </si>
  <si>
    <t>1. Mulai pekerjaan terlambat, IPPJU belum terbit pada saat pelaksanaan pekerjaan konstruksi yang seharusnya mulai pada tanggal 27 Okt 25. Upload JAKEVO tanggal 13 Okt 25, IPPJU terbit tanggal 27 Apr 26. Terlambat 177 Hkal dari target.
2. Metode pemasangan pipa yang direncanakan tidak dapat digunakan (manual boring) pada jalur-jalur tertentu. Alhasil diperlukan perubahan metode pemasangan pipa sebagian menjadi HDD
3. Terdapat kendala mengenai penentuan titik HDD dan Manual Boring</t>
  </si>
  <si>
    <t xml:space="preserve">Hydrotest: 5 Juni 2026
Flushing: 9 Juni 2026
Tescom: 14 Juni 2026
MC-100: 27 Juni 2026
DPPP: 29 Juni 2026 
</t>
  </si>
  <si>
    <t>25ABJ.NINKARB020.3JE</t>
  </si>
  <si>
    <t>B020 Tanjung Pura</t>
  </si>
  <si>
    <t xml:space="preserve">1. Mulai pekerjaan terlambat, IPPJU belum terbit pada saat pelaksanaan pekerjaan konstruksi yang seharusnya mulai pada tanggal 27 Okt 25. Upload JAKEVO tanggal 13 Okt 25, IPPJU terbit tanggal 27 Apr 26. Terlambat 177 Hkal dari target.
2. Adanya kendala izin dari RW terkait kompensasi pekerjaan yang menyisakan pekerjaan pipa sepanjang 417 m.
</t>
  </si>
  <si>
    <t>24ABJ.NINKARB006.6JE</t>
  </si>
  <si>
    <t>B006 CV Jakarta Mall Expressindo</t>
  </si>
  <si>
    <t xml:space="preserve">Mulai pekerjaan terlambat, IPPJU belum terbit pada saat pelaksanaan pekerjaan konstruksi yang seharusnya mulai pada tanggal 1 Des 25. Upload JAKEVO tanggal 15 Okt 25, IPPJU terbit tanggal 27 Apr 26. Terlambat 151 Hkal dari target.
</t>
  </si>
  <si>
    <t>Hydrotest: 30 Mei 2026
Flushing: 12 Juni 2026
Tescom: 17 Juni 2026
MC-100: 30 Juni 2026
DPPP: 1 Juli 2026</t>
  </si>
  <si>
    <t>25ABJ.NINKARB006.1JE</t>
  </si>
  <si>
    <t>B006 Charles Kurniawan</t>
  </si>
  <si>
    <t xml:space="preserve">1. Mulai pekerjaan terlambat, IPPJU belum terbit pada saat pelaksanaan pekerjaan konstruksi yang seharusnya mulai pada tanggal 24 Nov 25. Upload JAKEVO tanggal 15 Okt 25, IPPJU terbit tanggal 27 Apr 26. Terlambat 151 Hkal dari target.
2. Sebagian material aksesoris belum MOS
3. GIS PAM Jaya tidak sesuai dengan kondisi eksisting. Perlu penambahan tarikan pipa
</t>
  </si>
  <si>
    <t>Flushing : 22 Mei 2026
Tescom: 25 Mei 2026
MC-100: 4 Juni 2026
DPPP: 11 Juni 2026</t>
  </si>
  <si>
    <t>25ABJ.NINKARSN01.1JE</t>
  </si>
  <si>
    <t>SN01 Benda Raya &amp; Kemang Fight Gym</t>
  </si>
  <si>
    <t xml:space="preserve">1. Mulai pekerjaan terlambat, IPPJU belum terbit pada saat pelaksanaan pekerjaan konstruksi yang seharusnya mulai pada tanggal 1 Des 25. Upload JAKEVO tanggal 13 Okt 25, IPPJU terbit tanggal 6 Apr 26. Terlambat 127 Hkal dari target.
2. Perijinan crossing sungai belum terbit
</t>
  </si>
  <si>
    <t>23ABJ.NPPKAR036JE.1</t>
  </si>
  <si>
    <t>P36 Daan Mogot (DN500) Pemasangan EFM dan RTU</t>
  </si>
  <si>
    <t>1. Pekerjaan pada program ini dapat dilaksanakan setelah program P36 Daan Mogot selesai</t>
  </si>
  <si>
    <t>25ABJ.NINKARS002.1JE</t>
  </si>
  <si>
    <t>S002 PT Eka Boga Inti</t>
  </si>
  <si>
    <t xml:space="preserve">1. Mulai pekerjaan terlambat, IPPJU belum terbit pada saat pelaksanaan pekerjaan konstruksi yang seharusnya mulai pada tanggal 29 Des 25. Upload JAKEVO tanggal 13 Okt 25, IPPJU terbit tanggal 6 Apr 26. Terlambat 99 Hkal dari target.
2. Sebagian material aksesoris belum MOS
3. GIS PAM Jaya tidak sesuai dengan kondisi eksisting. Perlu penambahan tarikan pipa
</t>
  </si>
  <si>
    <t>Hydrotest: 30 Mei 2026
Flushing: 17 juni 2026
Tescom: 22 juni 2026
MC-100: 28 Juni 2026
DPPP: 01 Juli 2026</t>
  </si>
  <si>
    <t>Total</t>
  </si>
  <si>
    <t xml:space="preserve">Kronologis Keterlambatan </t>
  </si>
  <si>
    <t>Tanggal IPPJU terbit</t>
  </si>
  <si>
    <t>Target</t>
  </si>
  <si>
    <t>Deviasi</t>
  </si>
  <si>
    <t>SPAM Buaran 3 Hilir</t>
  </si>
  <si>
    <t>NIN23BUR154EZ1</t>
  </si>
  <si>
    <t>PC 154 - EZ 1</t>
  </si>
  <si>
    <t>1. Mulai pekerjaan terlambat, IPPJU belum terbit pada saat pelaksanaan pekerjaan konstruksi yang seharusnya mulai pada tanggal 30 Des 24. Upload JAKEVO tanggal IPPJU 23 Des 24, IPPJU terbit tanggal 10 Des 25. Terlambat 346 Hkal dari target
2. Terdapat pipa sepanjang 258 m dengan metoda HDD yang belum mendapat ijin terkait crossing jalan raya
3. PT Abinaya sebagai subkon tidak mau mengerjakan HDD, sehingga dari SCM melakukan proses PO ulang dan pekerjaan sempat terhenti ± 1 bulan.</t>
  </si>
  <si>
    <t>24ABJ.NINBUR161JPEZ5</t>
  </si>
  <si>
    <t>PC 161 - EZ 5</t>
  </si>
  <si>
    <t>1. Mulai pekerjaan terlambat, IPPJU belum terbit pada saat pelaksanaan pekerjaan konstruksi yang seharusnya mulai pada tanggal 30 Des 24. Upload JAKEVO tanggal IPPJU 26 Des 24, IPPJU terbit tanggal 7 Apr 26. Terlambat 446 Hkal dari target
2. Terdapat beberapa area yang ditolak oleh warga 
3. Selain itu, ada penggantian kontraktor dari Dasveda ke KJS</t>
  </si>
  <si>
    <t>24ABJ.NINBUR161JPEZ13</t>
  </si>
  <si>
    <t>PC 161 - EZ 13</t>
  </si>
  <si>
    <t xml:space="preserve">1. Mulai pekerjaan terlambat, IPPJU belum terbit pada saat pelaksanaan pekerjaan konstruksi yang seharusnya mulai pada tanggal 5 Des 24. Upload JAKEVO tanggal IPPJU 23 Des 24, IPPJU terbit tanggal 12 Mar 26. Terlambat 438 Hkal dari target
2. Perizinan 1 titik crossing sungai belum terbit. Sudah submit dokumen pada tanggal 4 Sep 2025 tetapi sampai saat ini perizinan belum terbit.
3. HT terlambat karena pipa sudah dipasang SR
4. Subkon BDH tidak mau mengerjakan jembatan </t>
  </si>
  <si>
    <t>SPAM Karian Serpong Hilir</t>
  </si>
  <si>
    <t>24ABJ.NPPKARPSG01JE</t>
  </si>
  <si>
    <t>TMPSG-01</t>
  </si>
  <si>
    <t>1. Perizinan IPPJU upload ke Jakevo pada tanggal 28 Feb 2025 sesuai schedule harusnya mulai pengurusan izin di tanggal 10 Feb 2025, sehingga terjadi keterlambatan selama 18 hari
2. Izin IPPJU terbit tanggal 28 Jul 2025, sesuai dengan SK Dinas Penanaman Modal dan PTSP nomor e-0034 tahun 2022, SLA IPPJU adalah 29 hari Kerja sehingga terjadi keterlambatan selama 4 bulan
3. Selain itu ada kendala pada perizinan corssing jalan tol dari Hutama Karya, dimana perizinan baru diterbitkan tanggal 12 Des 2025, dimana dokumen sudah disubmit tanggal 25 Apr 2025.
4. Setelah itu ada proses perizinan pemanfaatan lahan parkir MRT yang sudah mulai diproses bulan Sep 2025. karena ada penolakan rencana kerja awal dari pihak MRT, sehingga harus dilaksanakan joint survety ke 2 tgl 9 Okt 2025 dan surat kompensasi dari PT Centerpark baru terbit tgl 11 Okt 2025.</t>
  </si>
  <si>
    <t>Sudah DPPP</t>
  </si>
  <si>
    <t>24ABJ.NPPKARPSG02JE</t>
  </si>
  <si>
    <t>TMPSG-02</t>
  </si>
  <si>
    <t>1. Submit Jakevo pada tanggal 5 Maret 2025 yang seharusnya sudah mulai pengurusan izin di tanggal 10 Feb 2025, sehingga terjadi keterlambatan selama 1 bulan
2. Izin IPPJU baru terbit di tanggal 28 Jul 2025. Sesuai dengan SK Dinas Penanaman Modal dan PTSP nomor e-0034 tahun 2022, SLA IPPJU adalah 29 hari Kerja sehingga terjadi keterlambatan selama 4 bulan
3. Dari IPPJU terbit, masih ada proses STLAK. Perizinan STLAK baru dikeluarkan 30 Sept 2025. Keterlambatan terbit terjadi karena adanya kekhawatiran dari DBM akan terjadinya tumpukan kemacetan di area lokasi sehingga diarahkan untuk pelaksanaan proyek ini dimulai saat TMPSG-01 sudah selesai.
4. Kemudian, karena area lokasi berada di jalan sempit sehingga pelaksanaan konstruksi baru dapat dimulai pukul 22.00 s.d 04.00 sehingga membutuhkan waktu penyelesaian lebih lama.</t>
  </si>
  <si>
    <t>24ABJ.NPPKARPSG04JE</t>
  </si>
  <si>
    <t>TMPSG-04</t>
  </si>
  <si>
    <t>1. Izin IPPJU baru terbit di tanggal 5 Agustus 2025. Sesuai dengan SK Dinas Penanaman Modal dan PTSP nomor e-0034 tahun 2022, SLA IPPJU adalah 29 hari Kerja sehingga terjadi keterlambatan selama 6 bulan
2. Dari IPPJU terbit, masih ada proses izin untuk crossing KAI. Sudah submit dokumen tgl 17 Mar 2025. Pelaksanaan Survey baru dilaksanakan 12 Nov 2025 dan sampai dengan saat ini perizinan dari KAI belum terbit
3. Proses MOS baru selesai dilaksanakan 15 Maret 2026, dari rencana 8 Juni 2025
4. Dari IPPJU terbit, masih ada proses STALAK. Perizinan STALAK baru dikeluarkan 30 Sept 2025.
5. Selain itu, adanya perizinan crossing SDA yang belum terbit. 
6. Kemudian, karena area lokasi berada di jalan sempit sehingga pelaksanaan konstruksi baru dapat dimulai pukul 22.00 s.d 04.00 sehingga membutuhkan waktu penyelesaian lebih lama.</t>
  </si>
  <si>
    <t>24ABJ.NPPKARPSG08JE</t>
  </si>
  <si>
    <t>TMPSG-08</t>
  </si>
  <si>
    <t>1. Submit Jakevo pada tanggal 5 Maret 2025 yang seharusnya sudah mulai pengurusan izin di tanggal 10 Feb 2025, sehingga terjadi keterlambatan selama 1 bulan
2. Izin IPPJU baru terbit di tanggal 28 Jul 2025. Sesuai dengan SK Dinas Penanaman Modal dan PTSP nomor e-0034 tahun 2022, SLA IPPJU adalah 29 hari Kerja sehingga terjadi keterlambatan selama 4 bulan
3. Dai IPPJU, masih ada perizinan untuk crossing Toll - Jasamarga. 
4. Dari IPPJU terbit, masih ada proses STALAK. Perizinan STALAK baru dikeluarkan 11 Nov 2025. Keterlambatan terbit terjadi karena adanya kekhawatiran dari DBM akan terjadinya tumpukan kemacetan di area lokasi sehingga diarahkan untuk pelaksanaan proyek ini dimulai saat TMPSG-01 sudah selesai.</t>
  </si>
  <si>
    <t>NIN23KABB020.3</t>
  </si>
  <si>
    <t>B020 Citra 8</t>
  </si>
  <si>
    <t>1. Adanya perubahan metode dari manual boring ke HDD, sehingga adanya perubahan subkon dari FUJ ke BDH
2. Adanya kerusakan alat karena medan yang ekstrim (mata bor patah).
3. Terkait adanya audit pada Citra, sehingga alat konstruksi tidak bisa ditinggalkan di lokasi, sehingga efektifitas pekerjaan menurun</t>
  </si>
  <si>
    <t>NIN23KABB020.4</t>
  </si>
  <si>
    <t>B020 Citra 2 Ext</t>
  </si>
  <si>
    <t xml:space="preserve">1. Sudah submit Jakevo pada tanggal 8 Nov 2023 tetapi baru terbit izinnya pada tanggal 7 Des 2025. 
2. Selain itu terkendala perizinan dari RW setempat karena permintaan kompensasi dan CSR yang masih dalam tahap negosiasi.
3. Penentuan titik interkoneksi pada outlet WTP CItra. </t>
  </si>
  <si>
    <t>NIN23KABB020.5</t>
  </si>
  <si>
    <t>B020 Citra 2</t>
  </si>
  <si>
    <t xml:space="preserve">1. Adanya penolakan warga, RW meminta kompensasi. 
2. Terdapat sisa pekerjaan pemasangan pipa di Jl. 01 Maret tetapi masih menunggu citra 2 ext selesai konstruksi
</t>
  </si>
  <si>
    <t>24ABJ.NINKARS006PSG.13JE</t>
  </si>
  <si>
    <t>S006 Pesanggrahan - EZ 13</t>
  </si>
  <si>
    <t>1. Perizinan IPPJU belum terbit sampai dengan Des 2025,sedangkan upload dokumen ke Jakevo sudah dilakukan dari 13 Mei 2025.
2. Terdapat penambahan 2 titik input pemasangan pipa dia 160mm sekitar 300m mengikuti pit jacking TMPSG-04, sehingga kegiatan konstruksi masih berlangsung.</t>
  </si>
  <si>
    <t>24ABJ.NINKARS006PSG.14JE</t>
  </si>
  <si>
    <t>S006 Pesanggrahan - EZ 14</t>
  </si>
  <si>
    <t>1. Perizinan IPPJU belum terbit, sedangkan upload dokumen ke Jakevo sudah dilakukan dari 13 Mei 2025.
2. Perizinan crossing sungai SDA belum terbit 
3. Terdapat pekerjaan yang beririsan dengan TMPSG-02 sehingga harus menunggu pekerjaan jacking TMPSG-02 selesai.</t>
  </si>
  <si>
    <t>24ABJ.NINKARS006PSG.15JE</t>
  </si>
  <si>
    <t>S006 Pesanggrahan - EZ 15</t>
  </si>
  <si>
    <t xml:space="preserve">1. Perizinan IPPJU belum terbit sampai dengan bulan April 2026
2. Terkendala juga karena menunggu pekerjaan yang beririsan dengan jalur TMPSG-02 </t>
  </si>
  <si>
    <t>24ABJ.NINKARS006PSG.16JE</t>
  </si>
  <si>
    <t>S006 Pesanggrahan - EZ 16</t>
  </si>
  <si>
    <t>1. Perizinan IPPJU belum terbit sejak rekomtek terbit pada tanggal 27 Nov 2025
2. Selain itu, ada proses perizinan untuk wilayah PUPR. Sudah dilakukan koordinasi dan terdapat permintaan di luar cakupan pekerjaan (pemasangan pipa casing fiber optik)</t>
  </si>
  <si>
    <t>24ABJ.NINKARS006PSG.17JE</t>
  </si>
  <si>
    <t>S006 Pesanggrahan - EZ 17</t>
  </si>
  <si>
    <t>1. Perizinan IPPJU belum terbit sejak rekomtek terbit pada tanggal 24 Nov 2025
2. Selain itu, terdapat proyek SDA yang terkena dampak dari pemasangan pipa.</t>
  </si>
  <si>
    <t>24ABJ.NINKARS006PSG.18JE</t>
  </si>
  <si>
    <t>S006 Pesanggrahan - EZ 18</t>
  </si>
  <si>
    <t>1. Perizinan IPPJU belum terbit sejak rekomtek terbit pada tanggal 24 Nov 2025
2. Selain itu adanya kendala perizinan lingkungan untuk pemasangan pipa di Bukit Mas.</t>
  </si>
  <si>
    <t>SPAM Jatiluhur Hilir</t>
  </si>
  <si>
    <t>24ABJ.NBVJTA01</t>
  </si>
  <si>
    <t>Lodan DN400</t>
  </si>
  <si>
    <t>Izin, Teknis, &amp; Material</t>
  </si>
  <si>
    <t>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baru keluar 2 sd 3 bulan setelah test selesai dilaksanakan.
4. Pemasangan EFM tidak boleh dipasang dibadan jembatan.</t>
  </si>
  <si>
    <t>24ABJ.NBVJTA02</t>
  </si>
  <si>
    <t>Kp Bandan DN400</t>
  </si>
  <si>
    <t>Cancel</t>
  </si>
  <si>
    <t>1. Pekerjaan pondasi jembatan pipa direlokasi karena terdampak pondasi pembangunan proyek tol harbour II dan belum ada keputusan dari pihak tol (CMNP) terkait lokasi penempatan jembatan pipa.</t>
  </si>
  <si>
    <t>24ABJ.NBVJTA07</t>
  </si>
  <si>
    <t>Kwitang 2 DN900</t>
  </si>
  <si>
    <t xml:space="preserve">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yang baru keluar 2 sd 3 bulan setelah test selesai dilaksanakan.
4. Pemasangan EFM tidak boleh dipasang dibadan jembatan. </t>
  </si>
  <si>
    <t>24ABJ.NBVJTA08</t>
  </si>
  <si>
    <t>Diponegoro DN500</t>
  </si>
  <si>
    <t xml:space="preserve">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yang baru keluar 2 sd 3 bulan setelah test selesai dilaksanakan.
4. Pemasangan EFM tidak boleh dipasang dibadan jembatan. </t>
  </si>
  <si>
    <t>24ABJ.NBVJTA09</t>
  </si>
  <si>
    <t>Matraman DN600</t>
  </si>
  <si>
    <t>24ABJ.NBVJTA12</t>
  </si>
  <si>
    <t>MT Haryono DN1000</t>
  </si>
  <si>
    <t>1. Perizinan belum terbit 
2. Adanya perubahan material dari DCI ke steel karena eksisting yang digunakan adalah steel.  
3. Meeting 2 September 2025, PAM dan KPI meminta harus dilaksanakan brinell test untuk memastikan kondisi eksisting jembatan, sebelum dimulai konstruksi. Pelaksanaan brinell test terkendala saat penunjukkan vendor dan hasil brinell test yang baru keluar 2 sd 3 bulan setelah test selesai dilaksanakan.
4. PAM JAYA menyatakan untuk pemasangan EFM tidak boleh dipasang dibadan jembatan.</t>
  </si>
  <si>
    <t>24ABJ.NINJT087.2JR</t>
  </si>
  <si>
    <t>Master Meter Basri</t>
  </si>
  <si>
    <t xml:space="preserve">1. Status kepemilikan area tidak jelas, sehingga perlu koordinasi dengan Walikota Jakarta Utara. Dari hasil koordinasi, diputuskan bahwa diminta mempertimbangkan kembali pemasangan pipa di area tsb.
</t>
  </si>
  <si>
    <t>1. Sudah berkoordinasi dengan Kelurahan, Kecamatan, dan Walikota terkait kepemilikan tanah. Informasi dari Walikota tidak ada yang mempunyai sertifikat tanah.
2. Potensi cancel karena belum ada kepastian kapan perizinan dapat terbit</t>
  </si>
  <si>
    <t>24ABJ.NINJT065.1JR</t>
  </si>
  <si>
    <t>Master Meter Usman</t>
  </si>
  <si>
    <t>24ABJ.NINKARB004.1JE</t>
  </si>
  <si>
    <t>B004 SPBU BP AKR</t>
  </si>
  <si>
    <t>1. Sampai dengan Apr 2026, perizinan IPPJU masih belum terbit. 
2. ABJ sudah bersurat untuk program ini dikeluarkan dari Okt 2025</t>
  </si>
  <si>
    <t>24ABJ.NINKARS002.3JE</t>
  </si>
  <si>
    <t>S002 SPBU Shell TB Simatupang</t>
  </si>
  <si>
    <t>1. Sampai dengan akhir bulan Maret 2025 perizinan IPPJU dari DBM belum terbit.
2. Sudah dilakukan survey bersama DBM pada tanggal 16 Mei 2025 dimana pekerjaan baru dapat dilaksanakan setelah mendapat izin IPPJU karena lokasi yang ditargetkan berpotensi akan menimbulkan kemacetan yang lebih parah pada saat konstruksi. 
3. Adanya perubahan metode dari manual boring menjadi HDD dikarenakan issue kemacetan di Jl. TB Simatupang</t>
  </si>
  <si>
    <t>23ABJ.NINKARS002.2</t>
  </si>
  <si>
    <t>S002 Gaharu</t>
  </si>
  <si>
    <t>1. Adanya penolakan dari warga setempat, dimana warga meminta sosialisasi dari PAM dan dikarenakan area pekerjaan berada di jalan raya dan lalu lintas cukup padat, maka pekerjaan bisa dimulai jika IPPJU sudah terbit.</t>
  </si>
  <si>
    <t>1. Selesai Interkoneksi dan Flushing
2. Selesai Tescom. Dalam persiapan MC-100
3. Material Surface BOX sudah MOS tanggal 6 Mei 2026.
4. Sudah Upload DPPP ke BIM</t>
  </si>
  <si>
    <t xml:space="preserve">sudah DPPP
</t>
  </si>
  <si>
    <t xml:space="preserve">1. Upload JAKEVO 19 Mei 2025.  IPPJU terbit tanggal 1 Apr 26. Terlambat 142 Hkal dari target
2. Izin melewati area kantor BIN sudah terbit 
3. Izin Crossing KAI belum terbit, saat ini PAM Jaya sedang koordinasi dengan KAI terkait tanda tangan MoU antara PAM Jaya &amp; KAI.
4. Ada beberapa material belum MOS: Material Flange adaptor &amp; Coupling DCI estimasi MOS tanggal 16 Mei 2026. sudah MOS 18 Mei 2026
5. Pekerjaan dimulai setelah TMCL-10 selesai
</t>
  </si>
  <si>
    <t xml:space="preserve">1. Upload JAKEVO 19 Mei 2025.  IPPJU terbit tanggal 1 Apr 26. Terlambat 142 Hkal dari target.
2. Izin melewati area kantor BIN sudah terbit. 
3. Izin Crossing KAI belum terbit, saat ini PAM Jaya sedang koordinsi dengan KAI terkait tandatangan MoU antara PAM Jaya &amp; KAI. Survey Lapangan titik krosing rel.
4. Material flange adaptor belum MOS, estimasi tanggal 15 Mei 2026. MOS 18 Mei 2026
5. Pekerjaan dimulai setelah TMCL-10 selesai
</t>
  </si>
  <si>
    <t xml:space="preserve">
1. Proses pemasangan pipa di Jl. Peta Barat sedang berlangsung
2. Proses Interkoneksi di Jl. Warung Gantung sedang berlangsung</t>
  </si>
  <si>
    <t xml:space="preserve">
1. Hydrotest dan Interkoneksi sudah selesai
2. Proses Flsuhing</t>
  </si>
  <si>
    <t xml:space="preserve">Flushing: 19 Mei 2026 (Done 19 Mei 2026)
Tescom: 3 Juni 2026
MC-100:  10 Juni 2026
DPPP:  17 Juni 2026
</t>
  </si>
  <si>
    <t xml:space="preserve">1. Hydrotes sudah selesai dilaksanakan 
2. Pemasangan aksesoris 6 DJ dari 11 DJ sudah selesai dipasang.
3. Dalam tahap diskusi bersama PAM JAYA untuk rencana flushing. Flushing sudah selesai. target 6 juni 26, selesai 13 Mei 26.
4. Saat ini sedang konstruksi pembuatan chamber air valve. Target tanggal 20 Mei 2026 selesai konstruksi
1. Pemasangan aksesoris 11 DJ dari 11 DJ sudah selesai dipasang
2. Flushing sudah selesai dilaksanakan tanggal 13 Mei 2026 dari target 6 Juni 2026
3. Chamber air valve sudah selesai 5 chamber dari 12 chamber. 
4. Saat ini sedang dilakukan reinstatement </t>
  </si>
  <si>
    <t xml:space="preserve">Tescom: 2 Juni 2026
MC-100: 9 Mei 2026
DPPP: 16 Juni 2026
</t>
  </si>
  <si>
    <t>1. Upload JAKEVO tanggal 28 Mar 2023. IPPJU terbit tanggal 8 Okt 2024
2. Izin Crossing toll s.d saat ini belum keluar karena perpanjangan MoU antara PAM Jaya &amp; Jasa Marga masih dalam proses tanda tangan di PAM JAYA, sehingga DJ 5 sd DJ 7 dan DJ 18 sd DJ 20 belum bisa dikerjakan. Ditargetkan tanggal 20 Mei 2026 sudah keluar dari PAM JAYA
3. Hydrotest untuk DJ 8 sd 12 dan DJ 22 sd 26 sudah selesai
4. Saat ini sedang pekerjaan jacking dari DJ 8 ke DJ 7. 
1. Izin Crossing Toll belum terbit. Masih proses tanga tangan MoU di Jasa Marga, sehingga DJ 5 sd DJ 7 
2. Izin Crossing Toll HK belum terbit, dalam proses tanda tangan izin di DJBH, sehingga DJ 18 sd DJ 20 belum bisa dikerjakan.
3. Pemasangan pipa sampai dengan Hydrotest area toll belum bisa dikerjakan.
4. Pekerjaan jacking dari DJ 8 ke SJ 7 sudah selesai dilaksanakan.
5. Saat ini pembuatan pit di DJ 6 dan dalam proses Interkoneksi di DJ 24.</t>
  </si>
  <si>
    <t xml:space="preserve">1. Mulai konstruksi tanggal 19 Januari 26 dari target 3 Nov 25
2. Proses perizinan dengan KKDM terkait perubahan metode pemasangan pipa menjadi HDD. Perizinan dari KKDM terkait HDD dalam proses tanda tangan dan pekerjaan di lapangan sedang berlangsung
2. Saat ini sedang berlangsung pekerjaan Hydrotest.
1. Dalam proses pemasangan pipa
2. Hydrotest juga dilaksanakan secara parsial parsial
</t>
  </si>
  <si>
    <t>1. Pemasangan pipa sudah selesai sepanjang 548m dari target 611m. Saat ini dalam pemasangan aksesoris
2. Dalam proses Hydrotest
1. Pemasangan aksesoris sudah selesai 
2. Dalam tahap pelaksanaan hydrotest parsial.</t>
  </si>
  <si>
    <t>1. Saat ini dalam pemasangan aksesoris
2. Proses pelaksanaan hydrotest
1. Pemasangan pipa dan aksesoris sudah selesai
2. Saat ini dalam tahap pelaksanaan hydrotest parsial</t>
  </si>
  <si>
    <t xml:space="preserve">1. Izin Crossing sungai belum terbit 
2. Saat ini proses hydrotest parsial, masih ada pemasangan pipa dan aksesoris
1. Pemasangan pipa sudah selesai. 
2. Saat ini dalam tahap pemasangan aksesoris.
3. Pelaksanaan hydrotest menyisakan 3 segmen.
</t>
  </si>
  <si>
    <t>1. Dalam proses pemasangan pipa dan aksesoris.
2. Adanya penggantian subkon dari Abhinaya menjadi CRCC karena kinerja subkon sebelumnya tidak optimal.
1. Masih dalam proses pemasangan pipa dan aksesoris.
2. Dalam tahap persiapan hydrotest</t>
  </si>
  <si>
    <t xml:space="preserve">1. Dalam tahap pelaksanaan hydrotest dan interkoneksi. Hydrotest sudah selesai.
2. Material Surface BOX sudah MOS tanggal 6 Mei 2026.
3. Saat ini proses interkoneksi
1. Proses pelaksanaan interkoneksi dan persiapan flushing.
</t>
  </si>
  <si>
    <t xml:space="preserve">1. Hydrotest sudah selesai 
2. Proses interkoneksi dan persiapan flushing parsial.
3. Material Surface BOX sudah MOS tanggal 6 Mei 2026.
1. Persiapan flushing. Target flushing 5 Juni 2026
</t>
  </si>
  <si>
    <t>1. Material belum MOS: ada 28 Item material belum MOS (estimasi MOS 16 Mei 26)
2. Melanjutkan pemasangan pipa HDD dan aksesoris.
1. Melanjutkan pemasangan pipa HDD dan aksesoris.
2. Dalam proses pekerjaan jembatan</t>
  </si>
  <si>
    <t xml:space="preserve">1. Saat ini proses reinstatement untuk pipa yang sudah terpasang dan proses pemasangan pipa
2. Material Coupling DCI sudah MOS tanggal 13 Mei 2026 dan untuk material Loose Flange sudah MOS tanggal 18 Mei 2026
3. Saat ini proses pemasangan pipa sepanjang 642m
1. Saat ini proses pemasangan pipa sepanjang 642m
2. Proses reinstatement untuk pipa yang sudah terpasang masih berjalan
3. Pemasangan pipa dan aksesoris masih berjalan
</t>
  </si>
  <si>
    <t>1. Hydrotest sudah selesai, interkoneksi masih berjalan
2. Saat ini dalam tahap persiapan flushing parsial
1. Pekerjaan interkoneksi sudah selesai 
2. Saat ini masih dalam tahap fushing parsial</t>
  </si>
  <si>
    <t>Tescom: 20 Mei 2026 (Done 20 Mei 2026)
MC-100: 3 Juni 2026
DPPP: 10 Juni 2026</t>
  </si>
  <si>
    <t xml:space="preserve">1. Setelah dilakukan koordinasi beberapa kali, Pihak lingkungan mengizinkan pekerjaan dilakukan paralel dengan pengurusan izin.
2. Pemasangan pipa sudah selesai sepanjang 207m.
3. Proses Hydrotest, Flushing, dan Interkoneksi sudah selesai
4. Proses persiapan TC
1. Tes Com sudah selesai dilaksanakan tanggal 20 Mei 2026
2. Saat ini persiapan Pengukuran MC-100
</t>
  </si>
  <si>
    <t>1. Setelah dilakukan beberapa kali koordinasi dengan pihak lingkungan, diperbolehkan mulai kerja paralel dengan pengurusan IPPJU.
2. Pemasangan pipa sudah selesai sepanjang 480m.
3. Sudah dilaksanakan Hydrotest, Flushing, dan Interkoneksi
4. Pekerjaan reinstatement sudah selesai dan saat ini persiapan untuk test com
1. Tes Com sudah selesai dilaksanakan tanggal 20 Mei 2026
2. Saat ini persiapan Pengukuran MC-100</t>
  </si>
  <si>
    <t>1. Pemasangan pipa sudah selesai sepanjang 71m
2. Saat ini dalam proses verifikasi MC100
1. Saat ini masih dalam proses persiapan verifikasi MC-100</t>
  </si>
  <si>
    <t xml:space="preserve">1. Upload JAKEVO 30 Juni 2025. IPPJU terbit tanggal 12 Mar 2026. Terlambat 109 Hkal dari target.
2. Setelah dilakukan koordinasi beberapa kali, Pihak lingkungan mengizinkan pekerjaan dilakukan paralel dengan pengurusan izin.
3. Pemasangan pipa sudah selesai sepanjang 35m.
4. Proses Hydrotest, Flushing, dan Interkoneksi. HT, Interkoneksi, dan Flushing sudah selesai dilaksanakan.
5. Teskom sudah selesai dilaksanakan tanggal 13 Mei 2026. 
6. Saat ini tahap persiapan MC-100. Direncanakan tanggal 22 Mei 2026
1. Pwngukuran MC-100 sudah selesai dilaksanakan tanggal 22 Mei 2026
2. Saat ini proses persiapan verifikasi dokumen MC-100
</t>
  </si>
  <si>
    <t>1. Kompensasi sudah dibayarkan.
2. Sudah dilaksanakan Hydrotest dan Flushing
3. Proses interkoneksi sudah selesai dan persiapan test comm
1. Tes Com sudah selesai dilaksanakan tanggal 20 Mei 2026
2. Saat ini persiapan pengukuran MC-100</t>
  </si>
  <si>
    <t>Tescom: 22 Mei 2026 (Done 22 Mei 2026)
MC-100: 3 Juni 2026
DPPP: 10 Juni 2026</t>
  </si>
  <si>
    <t>1. Upload JAKEVO 19 Mei 2025.  IPPJU terbit tanggal 1 Apr 26. Terlambat 233 Hkal dari target.
2. Izin melewati area kantor BIN sudah terbit 
3. Izin Crossing KAI belum terbit, saat ini PAM Jaya sedang koordinasi dengan KAI terkait tandatangan MoU antara PAM Jaya &amp; KAI.
4. Ada beberapa material belum MOS: Material Aksesoris (estimasi MOS maks. 30 Apr 26)
5. Saat ini proses konstruksi pemasangan pipa
1. Izin Crossing KAI belum terbit. Saat ini dalam proses penerbitan di DJKA
2. Beberapa material belum MOS. Estimasi MOS 29 Mei 2026
3. Saat ini proses konstruksi pemasangan pipa</t>
  </si>
  <si>
    <t xml:space="preserve">1. Izin lingkungan sudah dilaksanakan dan sudah mendapat izin kerja.
2. Material belum MOS: Flange Adaptor. MOS 18 Mei 2026
3. Saat ini proses pekerjaan test Pit &amp; Open cut
1. Flange Adaptor sudah MOS tanggal 18 Mei 2026
2. Pekerjaan test pir &amp; open cut masih berlangsung
3. Saat ini pekerjaan HDD sedang berlangsung
</t>
  </si>
  <si>
    <t xml:space="preserve">Hydrotest: 20 Mei 2026 (Done 21 Mei 2026)
Interkoneksi: 1 Juni 2026
Flushing: 4 Juni 2026
Tescom: 9 Juni 2026
MC-100: 12 Juni 2026
DPPP: 22 Juni 2026
</t>
  </si>
  <si>
    <t xml:space="preserve">Hydrotest: 17 Juni 2026
Interkoneksi: 20 Juni 2026
Flushing: 22 Juni 2026
Tescom: 25 Juni 2026
MC-100: 28 Juni 2026
DPPP: 3 Juli 2026
</t>
  </si>
  <si>
    <t>Tescom: 20 Mei 2026 (Done 20 Mei 2026)
MC-100: 1 Juni 2026
DPPP: 12 Juni 2026</t>
  </si>
  <si>
    <t>Hydrotest: 13 Juni 2026
Interkoneksi: 16 Juni 2026
Flushing: 19 Juni 2026
Tescom: 23 Juni 2026
MC-100: 26 Juni 2026
DPPP: 29 Juni 2026</t>
  </si>
  <si>
    <t>1. Sudah dilakukan koordinasi dengan RT RW dan belum memberikan izin untuk mulai kerja tetapi belum ada koordinasi lanjutan dengan pemilik GOR Cakung. Belum ada kepastian dari PAM JAYA untuk jadwal koordinasi kembali dengan pemilik GOR Cakung.
1. Tanggal 21 Mei 2026 dilakukan koordinasi bersama antara ABJ, PAM JAYA, Pihak GOR, dan RT RW setempat dengan hasil untuk pekerjaan di GOR tidak diperbolehkan bekerja sampai pihak GOR melakukan sosialisasi atas kesepakatan antara pihak GOR dengan lingkungan.</t>
  </si>
  <si>
    <t>Verifikasi MC-100: 27 Mei 2026
DPPP: 1 Juni 2026</t>
  </si>
  <si>
    <t xml:space="preserve">MC-100: 22 Mei 2026 (Done 22 Mei 2026)
Verifikasi MC-100: 7 Juni 2026
DPPP: 12 Juni 2026
</t>
  </si>
  <si>
    <t xml:space="preserve">Hydrotest: 10 Juni 2026
Interkoneksi: 13 Juni 2026
Flushing: 16 Juni 2026
Tescom: 20 Juni 2026
MC-100: 23 Juni 2026
Verifikasi MC-100: 28 Juni 2026
DPPP: 2 Juli 2026
</t>
  </si>
  <si>
    <t>Tescom: 20 Mei 2026 (Done 20 Mei 2026)
MC-100: 27 Mei 2026
Verifikasi MC-100: 3 Juni 2026
DPPP: 7 Juni 2026</t>
  </si>
  <si>
    <t>Hydrotest: 13 Juni 2026
Interkoneksi: 16 Juni 2026
Flushing: 19 Juni 2026
Tescom: 23 Juni 2026
MC-100: 26 Juni 2026
Verifikasi MC-100: 29 Juni 2026
DPPP: 3 Juli 2026</t>
  </si>
  <si>
    <t>Hydrotest: 2 Juni 2026 (Done 22 Mei 2026)
Interkoneksi: 5 Juni 2026
Flushing: 8 Juni 2026
Tescom: 12 Juni 2026
MC-100: 19 Juni 2026
DPPP: 30 Juni 2026</t>
  </si>
  <si>
    <t xml:space="preserve">1. Metode pekerjaan sudah disepakati antara PAM, ABJ &amp; KPI menggunakan metode open cut.
2. Pemasangan pipa sudah selesai sepanjang 574m.
3. Saat ini proses Hydrotest
1. Hydrotes sudah selesai dilaksanakan tanggal 22 Mei 2026
2. Saat ini persiapan pekerjaan jembatan pipa ke Master Meter Syamsudin Reinforcement
</t>
  </si>
  <si>
    <t>1. Metode pekerjaan sudah disepakati antara PAM, ABJ &amp; KPI menggunakan metode open cut.
2. Pekerjaan akan dimulai setelah program master meter syamsudin selesai
3. Saat ini sudah mulai proses pemasangan pipa
1. Saat ini masih dalam tahap pemasangan pipa</t>
  </si>
  <si>
    <t>Saat ini dalam tahap proses pemasangan pipa
Pemasangan pipa dilanjutkan setelah libur idhul adha. Target dimulai lagi tanggal 2 Juni 2026</t>
  </si>
  <si>
    <t xml:space="preserve">1. Vendornya sama dengan Master Meter Hasnawati, sehingga kegiatan konstruksi akan dikerjakan setelah interkoneksi di Master Meter Hasnawati selesai dilaksanakan.
2. Sudin Jakarta Barat sudah memberikan izin terkait pekerjaan di area dinas Perkim.
1. Dalam proses mobilisasi material. Tanggal 27 Mei 2026 mulai konstruksi pemasangan pipa di area dinas Perkim
</t>
  </si>
  <si>
    <t>1. Material Coupling DCI sudah MOS tanggal 15 Mei 2026
2. Material Loose Flange estimasi MOS 22 Mei 2026
3. Saat ini proses pemasangan pipa, pemasangan aksesoris, dan hydrotest parsial
1. Saat ini proses pemasangan pipa, pemasangan aksesoris, dan hydrotest parsial
2. Material Loose Flange estimasi MOS 27 Mei 2026</t>
  </si>
  <si>
    <t>1. Material Coupling DCI, Surface Box dan Gate Valve sudah MOS tanggal 16 Mei 2026
2. Hydrotest sudah selesai. Saat ini proses pelaksanaan interkoneksi.
1. Saat ini masih berlangsung pelaksanaan interkoneksi 
2. Proses persiapan flushing</t>
  </si>
  <si>
    <t>1. Upload JAKEVO 23 Mei 2025.  IPPJU terbit tanggal 28 Apr 26. Terlambat 303 Hkal dari target.
2. material belum MOS: Coupling DCI (estimasi MOS maks. 16 Mei 2026), sudah MOS 12 Mei 2026
3. Pekerjaan bisa dilaksanakan paralel dengan pengurusan IPPJU karena dari lingkungan sudah mengizinkan kerja di bulan januari 2026. Pekerjaan saat ini pemasangan aksesoris dan proses persiapan HT. Pekerjaan flushing menunggu pekerjaan IPA Ciliwung selesai dan proses pengajuan justifikasi terkait metode flushing
4. Sudah dilaksanakan Hydrotest 4 segmen. 
5. Sisa pemasangan pipa 400 m
1. Tersisa 1 segmen untuk kegiatan hydrotest.
2. Pemasangan pipa 400m belum dikerjakan karena masih persiapan K3. Akan dikerjakan setelah libur Idul Adha.</t>
  </si>
  <si>
    <t>1. Upload JAKEVO 23 Mei 2025.  IPPJU terbit tanggal 10 Apr 26. Terlambat 285 Hkal dari target.
2. Material belum MOS: Loose Flange steel
3. Sudah proses konstruksi. untuk crossing sungai ada perubahan metode dari jembatan ke Syphon. Modeling sudah di submit team Planing ke PAM. Menunggu reviewa dari PAM dan KPI. udah dilaksanakan survey bersama PAM dan KPI. Saat ini sedang dalam proses negosiasi di SCM untuk harga Syphon
2. Hydrotest dan Interkoneksi sudah selesai dilaksanakan.
1. Material loose flange tidak jadi diperlukan karena tidak ada pekerjaan jembatan
2. Perubahan metode untuk crossing sungai masih menunggu proses negosiasi di SCM untuk harga Syphon</t>
  </si>
  <si>
    <t>1. Upload JAKEVO 30 Juni 2025. IPPJU terbit tanggal 13 Maret 2026. Terlambat 166 Hkal dari target.
2. GIS tidak sesuai dan saat ini titik interkoneksi dipindah menyesuaikan pipa existing di lapangan.
2. Sudah dilaksanakan test pit tanggal 19 April 2026
2. Material surface box sudah MOS
3. Pemasangan pipa berdasarkan volume pada DED sudah selesai.
4. Ada material tambahan untuk tapping 200. Material tambahan untuk tapping 200 masih dalam proses pembuatan PR.
1. Material tambahan tapping 200 PR sudah selesai, dalam tahap proses PO
2. Akan dibuat proposal modifikasi terkait penambahan panjang pipa karena adanya penyesuaian titik interkoneksi di lapangan.</t>
  </si>
  <si>
    <t>1. Saat ini proses pembuatan prodmod utk pemasangan pipa tambahan dikarenakan pipa eksisting sesuai DED tidak ditemukan, sehingga diperlukan penambahan pipa
2. Pemasangan pipa yang sudah sesuai DED sudah selesai dipasang. Sekarang proses hydrotest
1. Proposal modifikasi untuk tambahan pemasangan pipa masih dalam proses pembuatan</t>
  </si>
  <si>
    <t xml:space="preserve">
Tescom: 25 Mei 2026 (Done 25 Mei 2026
MC-100: 4 Juni 2026
DPPP: 11 Juni 2026</t>
  </si>
  <si>
    <t>1. Sudah dilaksanakan test pit tanggal 5 Des 2025.
2. Hydrotest dan Interkoneksi sudah selesai dilaksanakan.
3. Dilakukan koordinasi untuk metode pelaksanaan flushing bersama PAM dan KPI. Flushing sudah selesai dilaksanakan. 
4. Saat ini dalam persiapan untuk Tes Com
1. Tes Com sudah selesai dilaksanakan tanggal 25 Mei 2026
2. Saat ini dalam proses persiapan MC-100</t>
  </si>
  <si>
    <t>1. Perizinan crossing sungai belum terbit (proses rekomtek)
2. Pemasangan pipa sudah dilakukan di Jl Daan Mogot Baru dan Komplek Masjid Hasyim Asy'ari.
3. Minggu ini akan dilakukan pekerjaan HDD dan pemasangan pipa di Inspeksi Kali Mookervart
1. Perizinan crossing sungai masih dalam proses rekomtek</t>
  </si>
  <si>
    <t>1. Kesepatan biaya kompensiasi sudah selesai. Pemasangan pipa sudah bisa dilanjutkan
2. Pekerjaan interkoneksi ke pipa 500 daan mogot akan dikerjakan setelah pekerjaan distribusi daan mogot selesai.
1. Proses konstruksi akan dilakukan bersamaan dengan pembukaan pit P36 Daan Mogot di depan Family Mart 
2. Telah dilaksanakan Hydrotest segmen 2 pada tanggal 25 Mei 2026.</t>
  </si>
  <si>
    <t>1. Telah dilaksanakan Paparan Metode Kerja Pelaksanaan Penempatan Jaringan Utilitas Pipa Air Bersih ke Dinas Bina Marga pada tanggal 5 Mei 2026. Perizinan Crossing Sungai dalam proses rekomtek
2. Sudah dilaksanakan test pit tanggal 3 Mei 2025. saat ini proses pemasangan pipa
3. Material Surface Box sudah MOS tanggal 7 Mei 2026.
1. Perizinan crossing sungai dalam proses rekomtek di BBWS
2. Pekerjaan test pit direncanakan akan dimulai minggu depan setelah libur idul adha</t>
  </si>
  <si>
    <t>1. Perpanjangan IPPJU masih dalam proses penerbitan izin.
2. Pekerjaan dapat dilaksanakan setelah P36 Daan Mogot selesai
3. Sambungan PLN untuk Flowmeter masih dalam proses (Surat Pengantar/Kuasa masih berproses di PAM JAYA).
1. Perpanjgan IPPJU masih dalam proses penerbitan izin (saat ini proses penerbitan SKRD)
2. Pekerjaan dapat dilaksanakan setelah P36 Daan Mogot selesai
3. ABJ dan PAM JAYA akan berkoordinasi terkait kebutuhan listrik.</t>
  </si>
  <si>
    <t>Kondisi saat ini</t>
  </si>
  <si>
    <t>1. Upload JAKEVO 23 Mei 2025.  IPPJU terbit tanggal 10 Apr 26. Terlambat 285 Hkal dari target.
2. Material belum MOS: Pipa steel (ada stock di logistik), Coupling DCI (Estimasi MOS 16 Mei 26)
3. Pekerjaan bisa dilaksanakan paralel dengan pengurusan IPPJU karena dari lingkungan sudah mengizinkan kerja di bulan januari 2026. Pekerjaan saat ini pemasangan aksesoris dan proses persiapan HT. Pekerjaan flushing menunggu pekerjaan IPA Ciliwung selesai dan proses pengajuan justifikasi terkait metode flushing ke PAM JAYA.
1. Pemasangan pipa sudah selesai, tersisa pekerjaan crossing sungai,
2. Proses pelaksanaan Hydrotest parsial. Sisa 4 segmen</t>
  </si>
  <si>
    <t>1. Upload JAKEVO 23 Mei 2025.  IPPJU terbit tanggal 28 Apr 26. Terlambat 303 Hkal dari target.
2. Material Surface Box sudah MOS tanggal 21 April 2026
3. Pekerjaan bisa dilaksanakan paralel dengan pengurusan IPPJU karena dari lingkungan sudah mengizinkan kerja di bulan januari 2026. Pekerjaan saat ini pemasangan aksesoris dan proses persiapan HT. Pekerjaan flushing menunggu pekerjaan IPA Ciliwung selesai dan proses pengajuan justifikasi terkait metode flushing
1. Dalam pelaksanaan hydrotest parsial. Selesai 1 segmen dari 10 segmen.</t>
  </si>
  <si>
    <t>1. Proses perizinan crossing sungai menunggu jadwal survey. 
2. Proses perizinan dengan DBM untuk penempatan pit HDD. Dishub tidak mengizinkan pekerjaan HDD untuk crossing sungai dilaksanakan karena kondisi jalan lalu lintas padat.
3. Saat ini paralel proses pemasangan pipa di area yg sudah ada izinnya. Pemasangan pipa yang sudah memiliki izin sudah selesai dilaksanakan sepanjang 534m.
1. Saat ini masih dalam proses perizinan dengan DBM untuk penempatan pit HDD Crossing Sungai</t>
  </si>
  <si>
    <t>1. Upload JAKEVO 26 Juni 2025.  IPPJU terbit tanggal 17 Mar 26. Terlambat 261 Hkal dari target.
2. Material belum MOS: Coupling DCI (estimasi MOS maks. 16 Mei 2026) 
3. Pekerjaan bisa dilaksanakan paralel dengan pengurusan IPPJU karena dari lingkungan sudah mengizinkan kerja di bulan januari 2026. 
4. Pekerjaan flushing menunggu pekerjaan IPA Ciliwung selesai dan proses pengajuan justifikasi terkait metode flushing
1. Saat ini dalam proses pemasangan pipa</t>
  </si>
  <si>
    <t>1. Upload JAKEVO tanggal 6 Aug 2025. IPPJU terbit tanggal 4 Mei 2026. Terlambat 218 Hkal dari target.
2. Pihak lingkungan sudah memberikan izin kerja untuk jalur pipa sepanjang 265 m.
3.Pemasangan pipa sudah selesai sepanjang 248m.
4. Saat ini proses persiapan Hydrotest.
1. Pelaksanaan hydrotest sudah selesai.
2. Saat ini proses pelaksanaan interkoneksi</t>
  </si>
  <si>
    <t xml:space="preserve">1. Flushing sudah dilakukan.
2. interkoneksi sudah selesai
3. Saat ini persiapan Proses TC
1. Tes Com sudah selesai dilaksanakan tanggal 22 Mei 2026
2. Saat ini dalam proses reinstatement dan persiapan pengukuran MC-100
</t>
  </si>
  <si>
    <t xml:space="preserve"> 1. Pemasangan aksesoris 4 DJ dari 15 DJ sudah selesai dipasang.
2. Dalam tahap diskusi bersama PAM JAYA untuk rencana flushing. Flushing dalam proses diskusi dengan PAM JAYA. Diusulkan tanggal 18 Mei 2026 pekerjaan injeksi klorin dan tanggal 19 Mei adalah kegiatan flushing
3. Material Flange Adaptor 600 belum MOS estimasi MOS tgl 18 Mei 2026. Material sudah MOS tgl 18 Mei 2026.
4. Pekerjaan pipa yang belum selesai masih menunggu pemasangan flange adaptor.
5. Pembuatan chamber air valve masih dalam proses konstruksi.
1. Flushing sudah selesai dilaksanakan tanggal 19 Mei dari rencana tanggal 19 Mei
2. Flange Adaptor 600 sudah MOS tanggal 18 Mei
3. Pemasangan flange adaptor masih berlangsung karena pipa sebelumnya sudah dipasang stub flange untuk bisa dilakukan hydrotest dan flushing. baru diganti flange adaptor
4. Pembuatan chamber air valve sudah selesai 11 chamber dari 12 chamber. Untuk 1 chamber masih menunggu pemasangan flange adaptor selesai dipasang.</t>
  </si>
  <si>
    <t>1. Upload JAKEVO tanggal 13 Okt 25. IPPJU terbit tanggal 6 Apr 2026. Terlambat 99 Hkal dari target.
2. Material sudah MOS semua.
3. Sudah disepakarti bersama PAM, ABJ &amp; KPI dikerjakan sesuai dengan DED.
4. Submit Jadwal &amp; squence pekerjaan tanggal 12 Mei 2026 ke DBM sesuai dengan permintaan pada saat STLAK. Submit Jadwal &amp; squence diminta update rekayasa lalu lintas sehingga masih dalam proses STLAK. Rencana tanggal 20 Mei 2026 akan ke Kasatpel bersama dengan DBM.
5. Sudah berkoordinasi dengan Kasatpel dan DBM bahwa pengejaan akan dilakukan di trase trotoar.
1. Kegiatan expose sudah dilaksanakan bersama dengan DBM. Saat ini dalam proses penerbitan STLAK</t>
  </si>
  <si>
    <t>1. Pekerjaan akan dimulai maksimal tanggal 21 Mei 2026
1. Konstruksi akan dimulai tanggal 29 Mei 2026 karena material yang sebelumnya digunakan untuk program lain. Estimasi MOS material pengganti dalam minggu ini</t>
  </si>
  <si>
    <t xml:space="preserve">Hydrotest: 17 Juli 2026
Flushing: 24 Juli 2026
Tescom: 31 Juli 2026
MC-100: 7 Aug 2026
DPPP: 14 Aug 2026 
</t>
  </si>
  <si>
    <t xml:space="preserve">Berdasarkan surat no. ABJ26 0585 ABJ telah menyampaikan kepada PAM terkait pembatalan proyek karena adanya penolakan dari warga setempat sebelum penyelesaian permasalahan antara warga dan GOR Cakung diselesaikan. </t>
  </si>
  <si>
    <t>ABJ sudah bersurat ke PAM dengan no surat ABJ26-0173 terkait belum ada keputusan dari pihak tol (CMNP) untuk relokasi penempatan jembatan pipa, dimana ABJ meminta program ini dibatalkan dan dikeluarkan dari TOK Okt 2025 dan telah disepakati dalam weekly meeting bersama PAM JAYA dan KPI tanggal 26 Feb 2026.</t>
  </si>
  <si>
    <t>Sub- Proyek</t>
  </si>
  <si>
    <t>JDU+JDB+JDL</t>
  </si>
  <si>
    <t>25ABJ.NINBUR162.1JP</t>
  </si>
  <si>
    <t>PC 162 Hanjuang</t>
  </si>
  <si>
    <t>Topan Suwendi</t>
  </si>
  <si>
    <t>25ABJ.NINBUR162.9JP</t>
  </si>
  <si>
    <t>PC 162 Jl. Centex Gg. Jengki</t>
  </si>
  <si>
    <t>25ABJ.NINBUR162.5JP</t>
  </si>
  <si>
    <t>PC 162 Heavenly Residence</t>
  </si>
  <si>
    <t>25ABJ.NINBUR162.8JP</t>
  </si>
  <si>
    <t>PC 162 Bapak Sukarno</t>
  </si>
  <si>
    <t>25ABJ.NINBUR162.10JP</t>
  </si>
  <si>
    <t>PC 162 Jl. Tanah Merdeka RT 007/RW 004</t>
  </si>
  <si>
    <t>24ABJ.NINBUR156.1</t>
  </si>
  <si>
    <t>PC 156 RT 05 RW 12</t>
  </si>
  <si>
    <t>Khansan</t>
  </si>
  <si>
    <t>Trunk Main</t>
  </si>
  <si>
    <t>NPP23JTA B02</t>
  </si>
  <si>
    <t>B2 - Ancol DN800</t>
  </si>
  <si>
    <t>Muhrojin</t>
  </si>
  <si>
    <t>Pumping Station</t>
  </si>
  <si>
    <t>24ABJ.PNAJT151JR1</t>
  </si>
  <si>
    <t>IBP Basura</t>
  </si>
  <si>
    <t>Achmad Yudi Kurnia</t>
  </si>
  <si>
    <t>Koneksi BV</t>
  </si>
  <si>
    <t>24ABJ.NBVJTA03</t>
  </si>
  <si>
    <t>Mangga Dua DN400</t>
  </si>
  <si>
    <t>Yodi Ade Putra</t>
  </si>
  <si>
    <t>24ABJ.NBVJTA04</t>
  </si>
  <si>
    <t>Mangga Besar DN300</t>
  </si>
  <si>
    <t>24ABJ.NBVJTA05</t>
  </si>
  <si>
    <t>Samanhudi DN400</t>
  </si>
  <si>
    <t>24ABJ.NBVJTA06</t>
  </si>
  <si>
    <t>Kwitang 1 DN400</t>
  </si>
  <si>
    <t>24ABJ.NBVJTA11</t>
  </si>
  <si>
    <t>Kp Melayu Besar DN400</t>
  </si>
  <si>
    <t>24ABJ.NINJT051</t>
  </si>
  <si>
    <t>PC 051</t>
  </si>
  <si>
    <t>Ervin Yanuar</t>
  </si>
  <si>
    <t>24ABJ.NINJT054</t>
  </si>
  <si>
    <t>PC 054</t>
  </si>
  <si>
    <t>24ABJ.NINJT069</t>
  </si>
  <si>
    <t>PC 069</t>
  </si>
  <si>
    <t>24ABJ.NINJT070</t>
  </si>
  <si>
    <t>PC 070 Paket Pertama</t>
  </si>
  <si>
    <t>24ABJ.NINJT070.1</t>
  </si>
  <si>
    <t>PC 070 Paket Kedua</t>
  </si>
  <si>
    <t>24ABJ.NPPJT70JR.1</t>
  </si>
  <si>
    <t>Jl. Malaka 1, Jl. Malaka 2, Jl. Malaka 3, &amp; Jl. Rorotan 11</t>
  </si>
  <si>
    <t>24ABJ.NPPJT70JR4</t>
  </si>
  <si>
    <t>Jl. Rorotan 9</t>
  </si>
  <si>
    <t>24ABJ.NPPJT70JR6</t>
  </si>
  <si>
    <t>Menteng Metropolitan - Tambun Rengas (Connect dgn JGC)</t>
  </si>
  <si>
    <t>24ABJ.NINJT073</t>
  </si>
  <si>
    <t>PC 073</t>
  </si>
  <si>
    <t>24ABJ.NINJT074</t>
  </si>
  <si>
    <t>PC 074</t>
  </si>
  <si>
    <t>24ABJ.NINJT075</t>
  </si>
  <si>
    <t>PC 075</t>
  </si>
  <si>
    <t>24ABJ.NINJT077</t>
  </si>
  <si>
    <t>PC 077</t>
  </si>
  <si>
    <t>24ABJ.NINJT146</t>
  </si>
  <si>
    <t>PC 146</t>
  </si>
  <si>
    <t>24ABJ.NINJT148</t>
  </si>
  <si>
    <t>PC 148</t>
  </si>
  <si>
    <t>24ABJ.NINJT149</t>
  </si>
  <si>
    <t>PC 149</t>
  </si>
  <si>
    <t>24ABJ.NINJTS011</t>
  </si>
  <si>
    <t>S011</t>
  </si>
  <si>
    <t>24ABJ.NINJTS012</t>
  </si>
  <si>
    <t>S012</t>
  </si>
  <si>
    <t>25ABJ.NINJT081.1JR</t>
  </si>
  <si>
    <t>PC 081 Kalibaru Barat 13 A Gg Sadar</t>
  </si>
  <si>
    <t>25ABJ.NINJTP006.1JR</t>
  </si>
  <si>
    <t>P006 Jl. Bakti</t>
  </si>
  <si>
    <t>24ABJ.NINJTP008.12JR</t>
  </si>
  <si>
    <t>P008 Sri Devvi Heni Naomi</t>
  </si>
  <si>
    <t>24ABJ.NINJTS010.1JR</t>
  </si>
  <si>
    <t>S010 PT. Falah Inovasi Teknologi</t>
  </si>
  <si>
    <t>25ABJ.NINJT078.2JR</t>
  </si>
  <si>
    <t>PC 078 Aprilliana Picauly</t>
  </si>
  <si>
    <t>25ABJ.NINJT078.3JR</t>
  </si>
  <si>
    <t>PC 078 Sungkun Sianturi</t>
  </si>
  <si>
    <t>25ABJ.NINJT078.5JR</t>
  </si>
  <si>
    <t>PC 078 Sutarno</t>
  </si>
  <si>
    <t>24ABJ.NINJT082.1JR</t>
  </si>
  <si>
    <t>PC 082 Asmawi</t>
  </si>
  <si>
    <t>24ABJ.NINJTP003.2JR</t>
  </si>
  <si>
    <t>P003 M Andi Bharta</t>
  </si>
  <si>
    <t>24ABJ.NINJTP008.3JR</t>
  </si>
  <si>
    <t>P008 PT Phrada</t>
  </si>
  <si>
    <t>24ABJ.NINJTP008.5JR</t>
  </si>
  <si>
    <t>P008 Pergudangan Jembatan III, Lin Chi Chen, Lie Sie Tiat, PT Total Bangun Persada</t>
  </si>
  <si>
    <t>25ABJ.NINJTS008.1JR</t>
  </si>
  <si>
    <t>S008 Puskesmas Mampang Prapatan</t>
  </si>
  <si>
    <t>25ABJ.NINJTS010.3JR</t>
  </si>
  <si>
    <t>S010 Puskesmas Pembantu Mampang Prapatan</t>
  </si>
  <si>
    <t>25ABJ.NINJTS013.1JR</t>
  </si>
  <si>
    <t>S013 Puskesmas Pembantu Bangka</t>
  </si>
  <si>
    <t>25ABJ.NINJT060.1JR</t>
  </si>
  <si>
    <t>PC 060 Jl. Kalibaru Timur 7</t>
  </si>
  <si>
    <t>25ABJ.NINJTS001.3JR</t>
  </si>
  <si>
    <t>S001 RW 06 Pejaten Timur</t>
  </si>
  <si>
    <t>25ABJ.NINJTP002.4JR</t>
  </si>
  <si>
    <t>P002 Kantin Koperasi KEMENDAGRI</t>
  </si>
  <si>
    <t>25ABJ.NINJTP008.4JR</t>
  </si>
  <si>
    <t>P008 Irsan Widjaja</t>
  </si>
  <si>
    <t>25ABJ.NINJTS001.2JR</t>
  </si>
  <si>
    <t>S001 Perumahan Rawa Bambu</t>
  </si>
  <si>
    <t>25ABJ.NINJTP004.2JR</t>
  </si>
  <si>
    <t>P004 Jl Kota Bambu Utara IV</t>
  </si>
  <si>
    <t>24ABJ.NINJTP008.8JR.1</t>
  </si>
  <si>
    <t>Master Meter Misyanto (tambahan)</t>
  </si>
  <si>
    <t>25ABJ.NINJTS009.1JR</t>
  </si>
  <si>
    <t xml:space="preserve">
S009 PT Grha Provisioner Bersama</t>
  </si>
  <si>
    <t>24ABJ.NINJTS001.4JR.1</t>
  </si>
  <si>
    <t>S001 Perumahan Tanjung Mas Raya (tambahan)</t>
  </si>
  <si>
    <t>25ABJ.NINJT054.7JR</t>
  </si>
  <si>
    <t>PC 054 Dinda Ariestia (Cluster Griya Kintamani 2)</t>
  </si>
  <si>
    <t>25ABJ.NINJT056.1JR</t>
  </si>
  <si>
    <t>PC 056 Jl Pulo Gundul</t>
  </si>
  <si>
    <t>25ABJ.NINJT078.6JR.1</t>
  </si>
  <si>
    <t>PC 078 Jl. Perjuangan (tambahan)</t>
  </si>
  <si>
    <t>24ABJ.NPPKARPSG03JE</t>
  </si>
  <si>
    <t>TMPSG-03</t>
  </si>
  <si>
    <t>Fabianus Wangu</t>
  </si>
  <si>
    <t>24ABJ.NPPKARPSG05JE</t>
  </si>
  <si>
    <t>TMPSG-05</t>
  </si>
  <si>
    <t>24ABJ.NINKARS006PSG.04JE</t>
  </si>
  <si>
    <t>S006 Pesanggrahan - EZ 4</t>
  </si>
  <si>
    <t>24ABJ.NINKARS006PSG.05JE</t>
  </si>
  <si>
    <t>S006 Pesanggrahan - EZ 5</t>
  </si>
  <si>
    <t>24ABJ.NINKARS006PSG.06JE</t>
  </si>
  <si>
    <t>S006 Pesanggrahan - EZ 6</t>
  </si>
  <si>
    <t>24ABJ.NINKARS006PSG.07JE</t>
  </si>
  <si>
    <t>S006 Pesanggrahan - EZ 7</t>
  </si>
  <si>
    <t>24ABJ.NINKARS006PSG.08JE</t>
  </si>
  <si>
    <t>S006 Pesanggrahan - EZ 8</t>
  </si>
  <si>
    <t>24ABJ.NINKARS006PSG.09JE</t>
  </si>
  <si>
    <t>S006 Pesanggrahan - EZ 9</t>
  </si>
  <si>
    <t>24ABJ.NINKARS006PSG.10JE</t>
  </si>
  <si>
    <t>S006 Pesanggrahan - EZ 10</t>
  </si>
  <si>
    <t>24ABJ.NINKARS006PSG.11JE</t>
  </si>
  <si>
    <t>S006 Pesanggrahan - EZ 11</t>
  </si>
  <si>
    <t>24ABJ.NINKARS006PSG.12JE</t>
  </si>
  <si>
    <t>S006 Pesanggrahan - EZ 12</t>
  </si>
  <si>
    <t>24ABJ.NINKARS006</t>
  </si>
  <si>
    <t>S006</t>
  </si>
  <si>
    <t>NIN23KABB020.6</t>
  </si>
  <si>
    <t>B020 Tahap Pertama</t>
  </si>
  <si>
    <t>24ABJ.NINKARB019.9JE</t>
  </si>
  <si>
    <t>B019 Kamal gg H Jibobong</t>
  </si>
  <si>
    <t>24ABJ.NINKARB020.16JE</t>
  </si>
  <si>
    <t>B020 Jl. Tanjung Pura</t>
  </si>
  <si>
    <t>24ABJ.NINKARB019.15JE</t>
  </si>
  <si>
    <t>B019 Yayasan Tunas Blossom &amp; SPBU BP</t>
  </si>
  <si>
    <t>25ABJ.NINKARS002.3JE</t>
  </si>
  <si>
    <t>S002 Dirgantoro Tarmizi</t>
  </si>
  <si>
    <t>25ABJ.NINKARS002.4JE</t>
  </si>
  <si>
    <t>S002 Haekal Rizky Yulianto</t>
  </si>
  <si>
    <t>25ABJ.NINKARB016.1JE</t>
  </si>
  <si>
    <t>B016 Kompleks Guru Kapuk Muara</t>
  </si>
  <si>
    <t>25ABJ.NINKARP009.1JE</t>
  </si>
  <si>
    <t>P009 Muhammad Daffa Utama</t>
  </si>
  <si>
    <t>25ABJ.NINKARB020.19JE</t>
  </si>
  <si>
    <t>B020 Ruko Citra Business Park</t>
  </si>
  <si>
    <t>25ABJ.NINKARS014.1JE</t>
  </si>
  <si>
    <t>S014 Sapta Taruna</t>
  </si>
  <si>
    <t>25ABJ.NINKARB014.3JE</t>
  </si>
  <si>
    <t>B014 Puskesmas Pembantu Kembangan Selatan</t>
  </si>
  <si>
    <t>25ABJ.NINKARB016.4JE</t>
  </si>
  <si>
    <t>B016 Tafsir Munir (Gg. Banjir)</t>
  </si>
  <si>
    <t>25ABJ.NINKARS006PSG.13.1JE</t>
  </si>
  <si>
    <t>S006.13 Bumi Bintaro Permai</t>
  </si>
  <si>
    <t>25ABJ.NINKARS006PSG.14.1JE</t>
  </si>
  <si>
    <t>S006.14 Pesanggrahan (Tambahan)</t>
  </si>
  <si>
    <t>25ABJ.NINKARS006PSG.17.1JE</t>
  </si>
  <si>
    <t>S006.17 Pesanggrahan (Tambahan)</t>
  </si>
  <si>
    <t>25ABJ.NINKARS006PSG.18.2JE</t>
  </si>
  <si>
    <t>S006.18 Griya Seroja</t>
  </si>
  <si>
    <t>25ABJ.NINKARS006PSG.18.1JE</t>
  </si>
  <si>
    <t>S006.18 Pesanggrahan (Tambahan)</t>
  </si>
  <si>
    <t>25ABJ.NINKARS006PSG.13.3JE</t>
  </si>
  <si>
    <t>S006.13 Kelurahan Bintaro</t>
  </si>
  <si>
    <t>25ABJ.NINKARS006PSG.13.4JE</t>
  </si>
  <si>
    <t>S006.13 Jl. Kp Bulak RT 08 RW 02</t>
  </si>
  <si>
    <t>25ABJ.NINKARS006PSG.15.1JE</t>
  </si>
  <si>
    <t>S006.15 Pesanggrahan (Tambahan)</t>
  </si>
  <si>
    <t>25ABJ.NINKARB006.4JE</t>
  </si>
  <si>
    <t>B006 Thoriq Firdaus</t>
  </si>
  <si>
    <t>25ABJ.NINKARB006.5JE</t>
  </si>
  <si>
    <t>B006 Joko Martono</t>
  </si>
  <si>
    <t>25ABJ.NINKARB016.5JE</t>
  </si>
  <si>
    <t xml:space="preserve">B016 Gg. Sumur </t>
  </si>
  <si>
    <t>25ABJ.NINKARB016.5.1JE</t>
  </si>
  <si>
    <t>B016 Gg. Sumur Reinforcement</t>
  </si>
  <si>
    <t>25ABJ.NINKARS006.2JE</t>
  </si>
  <si>
    <t>S006 SPBU BP AKR Joglo</t>
  </si>
  <si>
    <t>25ABJ.NINKARB020.17JE</t>
  </si>
  <si>
    <t>B020 Sky Terrace Lagon Condo</t>
  </si>
  <si>
    <t>25ABJ.NINKARB020.11JE</t>
  </si>
  <si>
    <t>B020 Rusunawa Pesakih Tower 6 &amp; 7 (Rusun Daan Mogot)</t>
  </si>
  <si>
    <t>25ABJ.NINKARB020.13JE</t>
  </si>
  <si>
    <t>B020 Paradise Mansion</t>
  </si>
  <si>
    <t>Verifikasi Dokumen MC-100: 22 Mei 2026 (5 Juni 2026) 
DPPP : 12 Juni 2026 (Done 12 Juni 2026)</t>
  </si>
  <si>
    <t>1. Perpanjangan IPPJU sudah terbit tanggal 4 Juni 2026
2. Saat ini menunggu surat kuasa dari PLN keluar untuk dapat dilakukan pemasangan.</t>
  </si>
  <si>
    <t>Hydrotest: 26 Juni 2026
Flushing: 2 Juli 2026
Tescom: 7 Juli 2026
MC-100: 12 Juli 2026
DPPP: 19 Juli 2026</t>
  </si>
  <si>
    <t>Flushing: 26 Juni 2026
Tescom: 2 Juli 2026
MC-100: 7 Juli 2026
DPPP: 12 Juli 2026</t>
  </si>
  <si>
    <t xml:space="preserve">Hydrotest: 15 Juni 2026 (Done)
Interkoneksi: 16 Juni 2026 (Done)
Flushing: 17 Juni 2026 (Done)
Tescom: 22 Juni 2026
MC-100: 29 Juni 2026
DPPP: 3 Juli 2026
</t>
  </si>
  <si>
    <t xml:space="preserve">Hydrotest: 22 Juni 2026
Interkoneksi: 25 Juni 2026
Flushing: 26 Juni 2026
Tescom: 29 Juni 2026
MC-100: 2 Juli 2026
DPPP: 4 Juli 2026
</t>
  </si>
  <si>
    <t>RAB</t>
  </si>
  <si>
    <t>Test Comm</t>
  </si>
  <si>
    <t>PO: 5 Jun 2026
MOS: 10 Jun 2026
Perizinan: 13 Jun 2026
Konstruksi: 4 Sep 2026
TC dan MC-100: 22 Sep 2026
DPPP: 27 Sep 2026</t>
  </si>
  <si>
    <t>PO: 5 Jun 2026
MOS: 10 Jun 2026
Perizinan: 13 Jun 2026
Konstruksi: 7 Aug 2026
TC dan MC-100: 25 Aug 2026
DPPP: 30 Aug 2026</t>
  </si>
  <si>
    <t>PO: 3 Jun 2026
MOS: 17 Jun 2026
Perizinan: 13 Jun 2026
Konstruksi: 4 Sep 2026
TC dan MC-100: 22 Sep 2026
DPPP: 27 Sep 2026</t>
  </si>
  <si>
    <t>PO: 5 Jun 2026
MOS: 20 Jun 2026
Perizinan: 16 Jun 2026
Konstruksi: 20 Jul 2026
TC dan MC-100: 7 Aug 2026
DPPP: 12 Aug 2026</t>
  </si>
  <si>
    <t>PO: 30 May 2026
MOS: 14 Jun 2026
Perizinan: 10 Jun 2026
Konstruksi: 10 Sep 2026
TC dan MC-100: 28 Sep 2026
DPPP: 3 Oct 2026</t>
  </si>
  <si>
    <t>PO: 3 Jun 2026
MOS: 15 Jul 2026
Perizinan: 11 Jul 2026
Konstruksi: 4 Sep 2026
TC dan MC-100: 22 Sep 2026
DPPP: 27 Sep 2026</t>
  </si>
  <si>
    <t>PO: 5 Jun 2026
MOS: 30 Jun 2026
Perizinan: 5 Jun 2026
Konstruksi: 10 Sep 2026
TC dan MC-100: 28 Sep 2026
DPPP: 3 Oct 2026</t>
  </si>
  <si>
    <t>PO: 5 Jun 2026
MOS: 30 Jun 2026
Perizinan: 7 Jun 2026
Konstruksi: 28 Aug 2026
TC dan MC-100: 15 Sep 2026
DPPP: 20 Sep 2026</t>
  </si>
  <si>
    <t>PO: 30 May 2026
MOS: 14 Jun 2026
Perizinan: 10 Jun 2026
Konstruksi: 28 Aug 2026
TC dan MC-100: 15 Sep 2026
DPPP: 20 Sep 2026</t>
  </si>
  <si>
    <t>PO: 30 May 2026
MOS: 14 Jun 2026
Perizinan: 10 Jun 2026
Konstruksi: 8 Sep 2026
TC dan MC-100: 26 Sep 2026
DPPP: 1 Oct 2026</t>
  </si>
  <si>
    <t>PO: 0 Jan 1900
MOS: 0 Jan 1900
Perizinan: 0 Jan 1900
Konstruksi: 0 Jan 1900
TC dan MC-100: 0 Jan 1900
DPPP: 0 Jan 1900</t>
  </si>
  <si>
    <t>PO: 5 Jun 2026
MOS: 30 Jun 2026
Perizinan: 21 Jun 2026
Konstruksi: 8 Sep 2026
TC dan MC-100: 26 Sep 2026
DPPP: 1 Oct 2026</t>
  </si>
  <si>
    <t>PO: 30 May 2026
MOS: 14 Jun 2026
Perizinan: 10 Jun 2026
Konstruksi: 21 Aug 2026
TC dan MC-100: 8 Sep 2026
DPPP: 13 Sep 2026</t>
  </si>
  <si>
    <t>PO: 5 Jun 2026
MOS: 30 Jun 2026
Perizinan: 21 Jun 2026
Konstruksi: 15 Aug 2026
TC dan MC-100: 2 Sep 2026
DPPP: 7 Sep 2026</t>
  </si>
  <si>
    <t>PO: 5 Jun 2026
MOS: 17 Jun 2026
Perizinan: 13 Jun 2026
Konstruksi: 4 Sep 2026
TC dan MC-100: 22 Sep 2026
DPPP: 27 Sep 2026</t>
  </si>
  <si>
    <t>PO: 5 Jun 2026
MOS: 30 Jun 2026
Perizinan: 21 Jun 2026
Konstruksi: 8 Aug 2026
TC dan MC-100: 26 Aug 2026
DPPP: 31 Aug 2026</t>
  </si>
  <si>
    <t>PO: 5 Jun 2026
MOS: 30 Jun 2026
Perizinan: 10 Jun 2026
Konstruksi: 10 Sep 2026
TC dan MC-100: 28 Sep 2026
DPPP: 3 Oct 2026</t>
  </si>
  <si>
    <t>PO: 5 Jun 2026
MOS: 20 Jun 2026
Perizinan: 16 Jun 2026
Konstruksi: 13 Jul 2026
TC dan MC-100: 31 Jul 2026
DPPP: 5 Aug 2026</t>
  </si>
  <si>
    <t>PO: 30 May 2026
MOS: 14 Jun 2026
Perizinan: 10 Jun 2026 (Done 3 Jun 26)
Konstruksi: 10 Sep 2026
TC dan MC-100: 28 Sep 2026
DPPP: 3 Oct 2026</t>
  </si>
  <si>
    <t>PO: 5 Jun 2026
MOS: 30 Jun 2026
Perizinan: 26 Jun 2026 (Done 9 Jun 26)
Konstruksi: 10 Sep 2026
TC dan MC-100: 28 Sep 2026
DPPP: 3 Oct 2026</t>
  </si>
  <si>
    <t>PO: 5 Jun 2026
MOS: 30 Jun 2026
Perizinan: 5 Jun 2026 (Done 4 Jun 26)
Konstruksi: 10 Sep 2026
TC dan MC-100: 28 Sep 2026
DPPP: 3 Oct 2026</t>
  </si>
  <si>
    <t>PO: 5 Jun 2026
MOS: 30 Jun 2026
Perizinan: 7 Jun 2026 (Done 8 Jun 26)
Konstruksi: 28 Aug 2026
TC dan MC-100: 15 Sep 2026
DPPP: 20 Sep 2026</t>
  </si>
  <si>
    <t>PO: 5 Jun 2026
MOS: 30 Jun 2026
Perizinan: 5 Jun 2026 (Done 10 Jun 26)
Konstruksi: 10 Sep 2026
TC dan MC-100: 28 Sep 2026
DPPP: 3 Oct 2026</t>
  </si>
  <si>
    <t>PO: 5 Jun 2026
MOS: 10 Jun 2026
Perizinan: 13 Jun 2026 (Done 9 Jun 26)
Konstruksi: 31 Jul 2026
TC dan MC-100: 18 Aug 2026
DPPP: 23 Aug 2026</t>
  </si>
  <si>
    <t>PO: 29 May 2026
MOS: 30 Jun 2026
Perizinan: 7 Jun 2026 (Done 3 Jun 26)
Konstruksi: 28 Aug 2026
TC dan MC-100: 15 Sep 2026
DPPP: 20 Sep 2026</t>
  </si>
  <si>
    <t>PO: 29 May 2026
MOS: 30 Jun 2026
Perizinan: 7 Jun 2026 (Done 9 Jun 26)
Konstruksi: 28 Aug 2026
TC dan MC-100: 15 Sep 2026
DPPP: 20 Sep 2026</t>
  </si>
  <si>
    <t>PO: 5 Jun 2026
MOS: 30 Jun 2026
Perizinan: 10 Jun 2026 (Done 11 Jun 26)
Konstruksi: 10 Sep 2026
TC dan MC-100: 28 Sep 2026
DPPP: 3 Oct 2026</t>
  </si>
  <si>
    <t>PO: 5 Jun 2026
MOS: 10 Jun 2026
Perizinan: 13 Jun 2026 (Done 4 Feb 26)
Konstruksi: 7 Aug 2026
TC dan MC-100: 25 Aug 2026
DPPP: 30 Aug 2026</t>
  </si>
  <si>
    <t>PO: 5 Jun 2026
MOS: 10 Jun 2026
Perizinan: 13 Jun 2026 (Done 11 Feb 26)
Konstruksi: 7 Aug 2026
TC dan MC-100: 25 Aug 2026
DPPP: 30 Aug 2026</t>
  </si>
  <si>
    <t>PO: 5 Jun 2026
MOS: 10 Jun 2026
Perizinan: 13 Jun 2026 (Done 17 Mar 26)
Konstruksi: 7 Aug 2026
TC dan MC-100: 25 Aug 2026
DPPP: 30 Aug 2026</t>
  </si>
  <si>
    <t>1. Uji Komisioning sudah selesai dilaksanakan.
2. Pengukuran MC-100 sudah dilaksanakan
3. Saat ini proses verifikasi dokumen MC-100</t>
  </si>
  <si>
    <t>PO: 5 Jun 2026
MOS: 10 Jun 2026
Perizinan: 13 Jun 2026
Konstruksi: 31 Jul 2026
TC dan MC-100: 18 Aug 2026 (Done TC 21 Apr 26)
DPPP: 23 Aug 2026</t>
  </si>
  <si>
    <t>PO: 26 May 2026
MOS: 10 Jun 2026
Perizinan: 6 Jun 2026
Konstruksi: 4 Sep 2026
TC dan MC-100: 22 Sep 2026 (Done TC 4 Mar 26 dan Done MC-100 3 Jun 26)
DPPP: 27 Sep 2026 (Done 10 Jun 26)</t>
  </si>
  <si>
    <t>Kick Off Meeting</t>
  </si>
  <si>
    <t>Project Manager</t>
  </si>
  <si>
    <t>1. Proses Verifikasi Dokumen MC-100 sudah selesai
2. Saat ini proses DPPP</t>
  </si>
  <si>
    <t xml:space="preserve">Tescom: 5 Juni 2026 (Done 5 Juni 26)
MC-100: 12 Juni 2026 (Done 10 Juni 2026)
Verifikasi dokumen MC-100: 17 Juni 2026 (Done 17 Juni 2026)
DPPP: 25 Juni 2026
</t>
  </si>
  <si>
    <t xml:space="preserve">Dalam tahap permohonan izin Tol dari KKDM. Saat ini menunggu jadwal expose  </t>
  </si>
  <si>
    <t>1. IPPJU sudah terbit tanggal 3 Juni 2026. Saat ini dalam proses STLAK. 
2. Perizinan Sungai belum terbit. Saat ini dalam proses pengiriman IPPJU ke PT CMNP
3. Perizinan crossing KAI belum terbit. Survey sudah dilakukan bersama DJKA, saat ini dalam proses revisi gambar sesuai dengan hasil survey.</t>
  </si>
  <si>
    <t>2. Perizinan crossing KAI belum terbit. Survey sudah dilakukan bersama DJKA, saat ini dalam proses revisi gambar sesuai dengan hasil survey.</t>
  </si>
  <si>
    <t xml:space="preserve">1. IPPJU sudah terbit tanggal 23 April 2026.
2. </t>
  </si>
  <si>
    <t>1. Pelaksaan interkoneksi tidak jadi dilaksanakan karena berdasarkan hasil survey bersama PAM dan KPI tanggal 19 Juni untuk Gate Valve eksisting tidak perlu diganti karena masih dapat dioperasikan dengan baik. 
2. Akan dilaksanaan koordinasi verifikasi item pekerjaan di jembatan bersama PAM dan KPI, sehingga pekerjaan di lapangan menunggu hasil dari koordinasi.</t>
  </si>
  <si>
    <t>Penggalian chamber 1 sudah selesai. Tanggal 23 Juni akan dilanjut dengan proses penggalaian chamber ke dua.</t>
  </si>
  <si>
    <t>1. Pengukuran MC-100 di lapangan sudah selesai dilaksanakan tanggal 17 Juni 2026. 
2. Saat ini proses persiapan dokumen untuk verifikasi MC-100</t>
  </si>
  <si>
    <t>1. Sisi Selatan - pekerjaan terdampak dari pekerjaan LRT sudah selesai. Saat ini pemasangan aksesoris sudah dapat dimulai kembali
2. Sisi Barat - pelaksanaan singgem masih menunggu izin dari lingkungan karena akan menutup akses jalan. Rencana minggu ke empat Juni sudah bisa dilakukan.1
1. Sisi Selatan - pemasangan aksesoris belum dimulai karena belum dilaksanakan inspeksi QC material. Direncanakan tanggal 25 Juni 2026.
2. Sisi Barat - pelaksanaan singgem masih menunggu izin dari lingkungan karena akan menutup akses jalan. Rencana minggu ke empat Juni sudah bisa dilakukan</t>
  </si>
  <si>
    <t xml:space="preserve">
1. Proses penggalian chamber. 
2. Mobilisasi alat dan pemasangan PPDU sudah selesai.
1. Akan dilakukan inspeksi QC yang akan dilaksanakan tanggal 25 Juni 2026
2. Rencana interkoneksi akan dilaksanakan pada minggu pertama bulan Juli. Menunggu konfirmasi dari PAM terkait dampak pematian aliran </t>
  </si>
  <si>
    <t xml:space="preserve">
1. Masih berlangsung konstruksi pemasangan pipa
2. Hydrotest paralel sudah dilaksanakan. 
1. Pemasangan pipa dengan metode HDD sudah selesai. 
2. Pemasangan pipa untuk metode open cut sudah masuk ke segmen 3 dan crossing KAI. Perizinan crossing KAI belum terbit.
3. Pelaksanaan hydrotest paralel masih berlangsung.</t>
  </si>
  <si>
    <t xml:space="preserve">
 Saat ini sudah dilakukan pelaksanaan pekerjaan Syphon untuk jembatan crossing sungai
1. Pelaksanaan syphon masih berlangsung
2. Pemasangan pipa dan aksesoris sudah selesai.
</t>
  </si>
  <si>
    <t>1. Saat ini pemasangan aksesoris pipa
2. Pemasangan syphon dalam pelaksanaan. Sudah selesai 1 dari 4</t>
  </si>
  <si>
    <t>1. Penambahan pipa untuk 450m, sudah terpasang 318m
2. Hydrotest masih akan dilaksanakan untuk penambahan pipa 450m
1. Pemasangan pipa untuk penambahan pipa 450m, tersisa 20m. Dalam minggu ini direncakan selesai pemasangan pipa dan aksesoris
2. Hydrotest untuk 450m masih menunggu pipa dan aksesoris selesai dipasang.</t>
  </si>
  <si>
    <t>Saat ini masih dalam tahap pemasangan pipa dan aksesoris</t>
  </si>
  <si>
    <t>1. Hydrotest sudah dilaksanakan 1 segmen dari 4 segmen.
2. Saat ini pemasangan pipa masih berlanjut
1. Pelaksanaan hydrotest segmen 2 direncakan akan dilaksanakan tanggal 23 Juni 2026.
2. Pemasangan pipa sudah selesai. Saat ini berlangsung pemasangan aksesoris.</t>
  </si>
  <si>
    <t xml:space="preserve">Hydrotest: 20 Mei 2026 (Done 21 Mei 2026)
Interkoneksi: 24 Juni 2026 
Flushing: 24 Juni 2026
Tescom: 26 Juni 2026
MC-100: 30 Juni 2026
DPPP: 3 Juli 2026
</t>
  </si>
  <si>
    <t>1. Saat ini masih dalam proses pullback. Total yang sudah pullback 180m
1. Perizinan crossing sungai masih dalam proses rekomtek dengan SDA.
2. Pullback sudah selesai.
3. Saat ini dalam proses persiapan pelaksanaan flushing</t>
  </si>
  <si>
    <t>Verifikasi dokumen MC-100 masih berlangsung. Dokumen dalam tahap pemeriksaan oleh KPI</t>
  </si>
  <si>
    <t xml:space="preserve">Hydrotest: 17 Juni 2026 (Done 19 Juni 2026)
Interkoneksi: 20 Juni 2026  (Done 11 Maret 2026)
Flushing: 23 Juni 2026
Tescom: 26 Juni 2026
MC-100: 29 Juni 2026
DPPP: 3 Juli 2026
</t>
  </si>
  <si>
    <t>Saat ini proses persiapan interkoneksi dan singgem yang akan dilaksanakan tanggal 24 Juni 2026.</t>
  </si>
  <si>
    <t>1. Pemasangan pipa masih berlangsung
2. Pekerjaan syphon sudah selesai. Justek masih proses karena pekerjaan bisa dilakukan paralel.
3. Saat ini proses persiapan hydrotest untuk pipa yang sudah selesai dipasang.
1. Pemasangan pipa sudah selesai
2. Justek untuk syphon masih dalam proses sirkuler tanda tangan
3. Saat ini proses persiapan interkoneksi dan singgem yang akan dilaksanakan tanggal 24 Juni 2026.</t>
  </si>
  <si>
    <t>Hydrotest: 17Juni 2026 (Done 15 Juni 2026)
Interkoneksi: 24 Juni 2026
Flushing: 24 Juni 2026
Tescom: 26 Juni 2026
MC-100: 30 Juni 2026
DPPP: 3 Juli 2026</t>
  </si>
  <si>
    <t>Hydrotest: 2 Juni 2026 (Done 22 Mei 2026)
Interkoneksi: 24 Juni 2026
Flushing: 24 Juni 2026
Tescom: 26 Juni 2026
MC-100: 30 Juni 2026
DPPP: 3 Juli 2026</t>
  </si>
  <si>
    <t>1. Flushing sudah selesai dilaksanakan.
2. Saat ini proses persiapan Tes Comm</t>
  </si>
  <si>
    <t xml:space="preserve">Hydrotest: 10 Juni 2026 (Done 8 Juni 2026)
Interkoneksi: 22 Juni 2026 (Done 18 Juni 2026)
Flushing: 24 Juni 2026 (Done 22 Juni 2026)
Tescom: 26 Juni 2026
MC-100: 29 Juni 2026
DPPP: 3 Juli 2026
</t>
  </si>
  <si>
    <t>1. Pelaksanaan Tes Comm sudah selesai dilaksanakan.
2. Saat ini proses persiapan MC-100</t>
  </si>
  <si>
    <t>1. 2 titik interkoneksi belum ditemukan pipa eksisting. Berdasarkan survey tanggal 13 Juni, titik interkoneksi dipindah tetapi harus dilakukan penambahan panjang pipa sepanjang 50m dan harus dilakukan analisa hydrolis.
1. Dilaksanakan test pit lanjutan dan hasilnya ditemukan pipa eksisting tetapi tidak ada aliran dan akan di follow up kembali ke tim transmisi PAM.</t>
  </si>
  <si>
    <t>Pemasangan pipa dengan metode HDD dan Open Cut masih berlangsung.</t>
  </si>
  <si>
    <t>Sudah dilaksanakan test pit pipa eksisting diameter 200 pada tanggal 13 Juni 2026. akan diinterkoneksi dengan TMCL-10 setelah pekerjaan konstruksi selesai.</t>
  </si>
  <si>
    <t>Pekerjaan akan dimulai setelah TMCL-10 selesai konstruksi</t>
  </si>
  <si>
    <t>1. Jacking Crossing Rel on Progress target selesai jacking  30 Juni 2026
2. Pekerjaan PIt STA 4+500 sd 4+600 layer
3. Open Cut 4+100 ongoing
4. Press release belum terbit
5. Pipa 500 mm HDPE Jalan Ciledug Raya, masih proses asistensi ke Dishub</t>
  </si>
  <si>
    <t>1. STALAK sudah terbit tanggal 5 Mei 2026, tetapi proses penandatangan baru selesai dilakukan tanggal 18 Juni 2026.
2. Proses konstruksi akan dimulai setelah koordinasi dengan Kelurahan selesai karena akan dikerjakan bersamaan dengan Gaharu.</t>
  </si>
  <si>
    <t xml:space="preserve">
1. STALAK sudah terbit tanggal 5 Mei 2026, tetapi proses penandatangan baru selesai dilakukan tanggal 18 Juni 2026.
2. Terkait koordinasi dengan Kelurahan dan RT RW, belum ada respon dari pihak Kelurahan untuk jadwal koordinasi.</t>
  </si>
  <si>
    <t xml:space="preserve">Flushing: 19 Mei 2026 (Done 19 Mei 2026)
Tescom: 3 Juni 2026 (Done 5 Juni 26)
MC-100:  12 Juni 2026 (Done 12 Juni 20260
Verifikasi Dokumen MC-100: 19 Juni 2026 (Done 19 Juni 2026)
DPPP:  26 Juni 2026
</t>
  </si>
  <si>
    <t>Verifikasi dokumen masih berlanjut karena ada revisi Justifikasi Teknis, Justifikasi Finansial, dan RDA</t>
  </si>
  <si>
    <t>Hydrotest: 12 Juni 2026
Flushing: 15 Juni 2026
Tescom: 19 Juni 2026
MC-100: 26 Juni 2026
DPPP: 3 Juli 2026</t>
  </si>
  <si>
    <t xml:space="preserve">
Tescom: 25 Mei 2026 (Done 25 Mei 2026
Pengukuran MC-100: 4 Juni 2026 (Done 3 Juni 2026)
DPPP: 19 Juni 2026 (Done 19 Juni 2026)</t>
  </si>
  <si>
    <t>Verifikasi Dokumen MC-100: 26 Juni 2026
DPPP : 3 Juli 2026</t>
  </si>
  <si>
    <t xml:space="preserve">Hydrotest DJ 5 sd DJ 8: 17 Juni 2026 (Done 18 Juni 2026)
Hydrotest DJ 18 sd DJ 20: 14 Juli 2026
Flushing: 24 Juli 2026
Tescom: 25 Juli 2026
MC-100: 29 Juli 2026
DPPP: 7 Aug 2026
</t>
  </si>
  <si>
    <t>1. IKL belum terbit tetapi pekerjaan bisa dilakukan paralel. DJ 5 sd DJ 8 dalam tahap reinstatement.
2. Saat ini pembuatan pit DJ 19 masih dalam tahap konstruksi. Masih kurang 1 layer  
3. Hydrotest DJ 5 sd DJ 8 sudah selesai dilaksanakan.
4. DJ 18 dan DJ 24 akan dilaksanakan interkoneksi tanggal 26 Juni 2026.
5. ABJ telah bersurat ke PAM JAYA dengan nomor surat ABJ26 0574, atas adanya potensi keterlambatan karena izin crossing tol yang baru diterbitkan di akhir Mei 2026.</t>
  </si>
  <si>
    <t>Proses MOS</t>
  </si>
  <si>
    <t>PO Jasa BPM</t>
  </si>
  <si>
    <t>BATAL / CANCEL</t>
  </si>
  <si>
    <t>PR ABJ</t>
  </si>
  <si>
    <t>Pekerjaan konstruksi akan dimulai bulan Sept 2026 karena TMPSG-04 baru selesai di bulan Sept 26.</t>
  </si>
  <si>
    <t xml:space="preserve"> Masih tersisa Pekerjaan HDD menunggu TMPSG-02 selesai. pekerjaan jacking pada TMPSG-02 masih dalam tahap konstruksi sehingga pekerjaan interkoneksi belum dilaksanakan. </t>
  </si>
  <si>
    <t>TOTAL</t>
  </si>
  <si>
    <t>Tes Comm</t>
  </si>
  <si>
    <t>1. Interkoneksi masih tersisa 1 titik. Pipa eksisting belum ditemukan.
1. Saat ini proses persiapan Tes Comm yang akan dilaksanakan tanggal 24 Juni 2026.</t>
  </si>
  <si>
    <t>1. Pemasangan pipa area Blok M dan N masih proses konstruksi
2. Setelah kedua area selesai akan mulai konstruksi di area Blok O</t>
  </si>
  <si>
    <t>1. Pemasangan pipa diameter 500 masih berlangsung. Dalam minggu ini ditargetkan selesai.
1. Pemasangan pipa sudah selesai. Saat ini dalam proses pemasangan aksesoris, jembatan, dan chamber
2. Proses hydrotest sedang berjalan untuk pipa 500.</t>
  </si>
  <si>
    <t>1. Proses persiapan hydrotest (filling water). 
Dalam proses filling water karena sebelumnya ada perbaikan pipa yang bocor.</t>
  </si>
  <si>
    <t>1. Pekerjaan DJ STA 0+00 dan STA 0+070 ditargetkan selesai paling lambat 30 Juli 2026 dilanjut proses Hydrotest awal Juli
2. Hydrotest STA 1+000 sd 1+100 ditargetkan 30 Juni 2026
3. Chamber BV STA 0+070 ditargetkan selesai  paling lambat 15 Juli 2026
4. Chamber BV STA 2+000  Ditargetkan selesai paling lambat 15 Juli 2026</t>
  </si>
  <si>
    <t xml:space="preserve">1. Crossing saluran menunggu perizinan lingkungan. Saat ini dalam koordinasi dengan RT RW.
2. Pekerjaan menunggu TMPSG-02 selesai dilaksanakan.
3. Saat ini pelaksanaan flushing paralel dilakukan. Sudah dilakukan 2 segmen dari 6 segmen
</t>
  </si>
  <si>
    <t>Pekerjaan baru akan dimulai minggu depan karena koordinasi dengan lingkungan sudah diizinkan berkaitan dengan reinstatement.
Ditargetkan pekerjaan akan dimulai dalam minggu ini karena masih dalam tahap koordinasi dengan pihak RT dan RW.</t>
  </si>
  <si>
    <t>1. Pelakasanaan flushing masih berlangsung
Pelaksanaan flushing masih berlangsung. Sudah dilaksanakan 2 segmen dari 3 segmen.</t>
  </si>
  <si>
    <t xml:space="preserve">Proses pemasangan pipa masih berlangsung. </t>
  </si>
  <si>
    <t xml:space="preserve">Pemasangan pipa sudah selesai. Menunggu survey dengan PAM JAYA untuk interkoneksi pipa eksisting. </t>
  </si>
  <si>
    <t>1. Interkoneksi sudah dilaksanakan tanggal 12 Juni 2026
2. Saat ini pelaksanaan flushing sedang berlangsung.
1. Flushing sudah selesai dilaksanakan.
2. Saat ini proses persiapan Tes Comm. Rencana akan dilaksanakan tanggal 26 Juni 2026</t>
  </si>
  <si>
    <t>1. Hydrotest sudah selesai
2. Perlu rapat koordinasi lanjutan mengenai jadwal interkoneksi. Rencana dalam minggu ini
1. Flushing dan Interkoneksi sudah selesai dilaksanakan.
2. Saat ini proses persiapan Tes Com. Rencana akan dilaksanakan tanggal 26 Juni 2026</t>
  </si>
  <si>
    <t>1. Saat ini untuk flushing dan interkoneksi menunggu program P36 selesai.
1. Pemasangan pipa sudah selesai
2. Dalam minggu ini akan dilaksanakan flushing dan interkoneksi. Rencana akan dilaksanakan tanggal 27 Juni 2026.</t>
  </si>
  <si>
    <t>Pekerjaan konstruksi pemasangan pipa masih berlangsung
1. Hydrotest sudah selesai dilaksanan tanggal 22 Juni 2026
2. Saat ini proses persiapan interkoneksi. Rencana akan dilaksanakan tanggal 25 Juni 2026</t>
  </si>
  <si>
    <t>Saat ini persiapan Tes Comm. Rencana akan dilaksanakan tanggal 26 Juni 2026</t>
  </si>
  <si>
    <t>1. Pekerjaan pemasangan pipa sudah berlangsung.
2. Saat ini sudah berjalan dengan 4 mesin untuk pemasangan pipa. Estimasi pemasangan pipa minggu ini selesai.
1. Pemasangan pipa ditargetkan akan selesai dalam minggu ini
2. Selain itu, dalam persiapan pelaksanaan hydrotest parsial.</t>
  </si>
  <si>
    <t xml:space="preserve">1. Menunggu izin dari PAM JAYA untuk melakukan interkoneksi dan penggantian flowmeter. Dari ABJ sudah memberikan rencana akan dilaksanakan tanggal 25 Juni 2026, tetapi dari PAM JAYA belum memberikan feedback 
</t>
  </si>
  <si>
    <t xml:space="preserve">Saat ini proses konstruksi pemasangan pipa masih berlangsung
1. Saat ini proses pemasangan pipa di crossing sungai
2. Menunggu izin dari PAM JAYA untuk pelaksanaan interkoneksi. Dari ABJ sudah memberikan rencana akan dilaksanakan tanggal 25 Juni 2026, tetapi dari PAM JAYA belum memberikan feedback </t>
  </si>
  <si>
    <r>
      <t xml:space="preserve">Hydrotest: 12 Juni 2026 (Done 9 Juni 2026)
Flushing: 17 Juni 2026
</t>
    </r>
    <r>
      <rPr>
        <sz val="24"/>
        <rFont val="Calibri"/>
        <family val="2"/>
        <scheme val="minor"/>
      </rPr>
      <t xml:space="preserve">Tescom: 24 Juni 2026 </t>
    </r>
    <r>
      <rPr>
        <sz val="24"/>
        <color theme="1"/>
        <rFont val="Calibri"/>
        <family val="2"/>
        <scheme val="minor"/>
      </rPr>
      <t xml:space="preserve">
MC-100: 30 Juni 2026
DPPP: 3 Juli 2026</t>
    </r>
  </si>
  <si>
    <r>
      <t xml:space="preserve">Hydrotest: 12 Juni 2026 (Done 5 Juni 26)
Flushing: 17 Juni 2026 (Done)
</t>
    </r>
    <r>
      <rPr>
        <sz val="24"/>
        <rFont val="Calibri"/>
        <family val="2"/>
        <scheme val="minor"/>
      </rPr>
      <t>Tescom: 24 Juni 2026</t>
    </r>
    <r>
      <rPr>
        <sz val="24"/>
        <color theme="1"/>
        <rFont val="Calibri"/>
        <family val="2"/>
        <scheme val="minor"/>
      </rPr>
      <t xml:space="preserve">
MC-100: 30 Juni 2026
DPPP: 3 Juli 2026</t>
    </r>
  </si>
  <si>
    <t xml:space="preserve">
1. Total 6 titik interkoneksi. 3 titik akan dikerjakan tanggal 19 Juni. Interkoneksi 3 titik belum ditemukan pipa eksisting. 
2. Hydrotest masih tersisa 2 segmen karena masih proses pemasangan pipa.
1. Interkoneksi 3 titik akan dilaksanakan tanggal 26 Juni 2026
2. Masih ada pemasangan pipa dia 110.
3. Hydrotest masih tersisa 1 segmen.</t>
  </si>
  <si>
    <t>1. Interkoneksi sudah selesai tanggal 12 Juni 2026
2. Proses persiapan flushing. Direncanakan tgl 17 Juni 2026
1. Flushing sudah selesai dilaksanakan tanggal 22 Juni 2026
2. Saat ini persiapan tes com. Rencana dilaksanakan tanggal 25 Juni 2026</t>
  </si>
  <si>
    <t xml:space="preserve">Hydrotest: 5 Juni 2026 (Done 25 Mei 2026)
Interkoneksi: 11 Juni 2026 (Done 12 Juni 2026)
Flushing: 17 Juni 2026 (Done 22 Juni 2026)
Tescom: 22 Juni 2026
MC-100: 29 Juni 2026
DPPP: 3 Juli 2026
</t>
  </si>
  <si>
    <t>1. Pemasangan pipa tersisa 15m. Dalam minggu ini pemasangan pipa selesai
2. Hydrotest masih proses pelaksanaan. Target selesai 19 Juni 2026
1. Rencana akan dilaksanakan flushing tanggal 25 Juni 2026
2. Pemasangan pipa sudah selesai. 
3. Hydrotest dan Interkoneksi sudah selesai dilaksanakan tanggal 22 Juni 2026</t>
  </si>
  <si>
    <t xml:space="preserve">Hydrotest: 19 juni 2026 (Done 22 Juni 2026)
Interkoneksi: 23 Juni 2026 (Done 22 Juni 2026)
Flushing: 25 Juni 2026
Tescom: 29 Juni 2026
MC-100: 2 Juli 2026
DPPP: 4 Juli 2026
</t>
  </si>
  <si>
    <t>1. Interkoneksi masih tersisa 2 titik. Target selesai dalam minggu ini.
1. Interkoneksi tersisa 1 titik. Rencana akan dilaksanakan tanggal 26 Juni 2026</t>
  </si>
  <si>
    <t>1. Masih dalam persiapan Tes Comm (dalam pembuatan surat). Target undangan tanggal 19 Juni 2026
Akan dilaksanakan tes com parsial tanggal 26 Juni 2026.</t>
  </si>
  <si>
    <t xml:space="preserve">Hydrotest: 5 Juni 2026 (Done 29 Mei 26 utk EZ 6A)
Interkoneksi: 8 Juni 2026 (Done 13 Mei utk 6B)
Flushing: 15 Juni 2026 (Done 20 Mei 26 utk EZ 6B)
Tescom: 22 Juni 2026 (Done 22 Juni 2026)
MC-100: 29 Juni 2026
DPPP: 3 Juli 2026
</t>
  </si>
  <si>
    <t xml:space="preserve">
1. Proses hydrotest dan interkoneksi masih dilakukan secara parsial.
2. Pemasangan pipa sudah selesai.
1. Sudah dilaksanakan Tes Comm
2. Direncanakan akan dilaksanakan MC-100 tanggal 26 Juni 2026</t>
  </si>
  <si>
    <t xml:space="preserve">1. Interkoneksi tersisa 1 titik. 
2. Saat ini proses persiapan flushing parsial.
1. Pelaksanaan hydrotest direncanakan akan dilakukan tanggal 26 Juni 2026.
2. Rencana tanggal 30 Juni akan dilaksanakan flushing </t>
  </si>
  <si>
    <t>1. Interkoneksi sudah selesai.
2. Saat ini dalam proses persiapan flushing parsial.
3. Pemasangan pipa sudah selesai.
1. Rencana flushing akan dilaksanakan tanggal 26 Juni 2026
2. Direncanakan tanggal 30 Juni akan dilaksanakan Tes Comm</t>
  </si>
  <si>
    <t>1. Masih berlangsung konstruksi pemasangan pipa
2. Hydrotest paralel sudah dilaksanakan. 
1. Hydrotest sudah selesai dilaksanakan.
2. Interkoneksi akan dilaksanakan tanggal 26 Juni 2026.</t>
  </si>
  <si>
    <t>1. Saat ini proses persiapan Tes Com yang akan dilaksanakan tanggal 24 Juni 2026.</t>
  </si>
  <si>
    <t>Hydrotest: 1 Juni 2026 (Done 4 Mei 2026)
Interkoneksi: 12 Juni 2026 (Done 12 Juni 2026)
Flushing: 19 Juni 2026 (Done 19 Juni 2026)
Tescom: 24 Juni 2026
MC-100: 29 Juni 2026
DPPP: 3 Juli 2026</t>
  </si>
  <si>
    <t>1. Masih menunggu jadwal verifikasi dokumen MC-100 oleh PAM 
Verifikasi MC-100 sudah dilaksanakan tanggal 23 Juni 2026. Hasilnya masih ada revisi Justek dan Jusfin, saat ini proses sirkuler tanda tangan. Ditargetkan pertemuan kembali tanggal 26 Juni 2026.</t>
  </si>
  <si>
    <r>
      <rPr>
        <sz val="24"/>
        <color rgb="FFFF0000"/>
        <rFont val="Calibri"/>
        <family val="2"/>
        <scheme val="minor"/>
      </rPr>
      <t>Verifikasi MC-100: 19 Juni 2026 (terlambat)</t>
    </r>
    <r>
      <rPr>
        <sz val="24"/>
        <color theme="1"/>
        <rFont val="Calibri"/>
        <family val="2"/>
        <scheme val="minor"/>
      </rPr>
      <t xml:space="preserve">
</t>
    </r>
    <r>
      <rPr>
        <sz val="24"/>
        <color rgb="FFFF0000"/>
        <rFont val="Calibri"/>
        <family val="2"/>
        <scheme val="minor"/>
      </rPr>
      <t>DPPP : 24 Juni 2026 (terlambat)</t>
    </r>
  </si>
  <si>
    <r>
      <t xml:space="preserve">Hydrotest: 5 Juni 2026 (Done)
Interkoneksi: 10 Juni 2026 (Done)
Flushing: 17 Juni 2026 (Done 17 Juni 2026)
</t>
    </r>
    <r>
      <rPr>
        <sz val="24"/>
        <color rgb="FFFF0000"/>
        <rFont val="Calibri"/>
        <family val="2"/>
        <scheme val="minor"/>
      </rPr>
      <t>Tescom: 22 Juni 2026 (terlambat)</t>
    </r>
    <r>
      <rPr>
        <sz val="24"/>
        <color theme="1"/>
        <rFont val="Calibri"/>
        <family val="2"/>
        <scheme val="minor"/>
      </rPr>
      <t xml:space="preserve">
MC-100: 29 Juni 2026
DPPP: 3 Juli 2026
</t>
    </r>
  </si>
  <si>
    <r>
      <rPr>
        <sz val="24"/>
        <color rgb="FFFF0000"/>
        <rFont val="Calibri"/>
        <family val="2"/>
        <scheme val="minor"/>
      </rPr>
      <t>Hydrotest: 23 Juni 2026 (terlambat)</t>
    </r>
    <r>
      <rPr>
        <sz val="24"/>
        <color theme="1"/>
        <rFont val="Calibri"/>
        <family val="2"/>
        <scheme val="minor"/>
      </rPr>
      <t xml:space="preserve">
Interkoneksi: 26 Juni 2026 
Flushing:  28 Juni 2026
Tescom: 30 Juni 2026
MC-100: 2 Juli 2026
DPPP: 4 Juli 2026
</t>
    </r>
  </si>
  <si>
    <r>
      <rPr>
        <sz val="24"/>
        <color rgb="FFFF0000"/>
        <rFont val="Calibri"/>
        <family val="2"/>
        <scheme val="minor"/>
      </rPr>
      <t>Interkoneksi: 19 Juni 2026 (terlambat)</t>
    </r>
    <r>
      <rPr>
        <sz val="24"/>
        <color theme="1"/>
        <rFont val="Calibri"/>
        <family val="2"/>
        <scheme val="minor"/>
      </rPr>
      <t xml:space="preserve">
Flushing parsial: 22 Juni 2026
Tescom: 25 Juni 2026
MC-100: 29 Juni 2026
DPPP: 3 Juli 2026
</t>
    </r>
  </si>
  <si>
    <r>
      <t xml:space="preserve">Interkoneksi: 19 Juni 2026 (Done 12 Juni 2026)
</t>
    </r>
    <r>
      <rPr>
        <sz val="24"/>
        <color rgb="FFFF0000"/>
        <rFont val="Calibri"/>
        <family val="2"/>
        <scheme val="minor"/>
      </rPr>
      <t>Flushing: 24 Juni 2026 (terlambat)</t>
    </r>
    <r>
      <rPr>
        <sz val="24"/>
        <color theme="1"/>
        <rFont val="Calibri"/>
        <family val="2"/>
        <scheme val="minor"/>
      </rPr>
      <t xml:space="preserve">
Tescom: 26 Juni 2026
MC-100: 29 Juni 2026
DPPP: 3 Juli 2026
</t>
    </r>
  </si>
  <si>
    <r>
      <t xml:space="preserve">Hydrotest: 17 Juni 2026 
</t>
    </r>
    <r>
      <rPr>
        <sz val="24"/>
        <color rgb="FFFF0000"/>
        <rFont val="Calibri"/>
        <family val="2"/>
        <scheme val="minor"/>
      </rPr>
      <t>Interkoneksi: 22 Juni 2026 (terlambat)</t>
    </r>
    <r>
      <rPr>
        <sz val="24"/>
        <color theme="1"/>
        <rFont val="Calibri"/>
        <family val="2"/>
        <scheme val="minor"/>
      </rPr>
      <t xml:space="preserve">
Flushing:  25 Juni 2026
Tescom: 29 Juni 2026
MC-100: 3 Juli 2026
DPPP: 4 Juli 2026
</t>
    </r>
  </si>
  <si>
    <r>
      <t xml:space="preserve">Hydrotest: 8 Juni 2026 (Done 25 mei 2026)
</t>
    </r>
    <r>
      <rPr>
        <sz val="24"/>
        <color rgb="FFFF0000"/>
        <rFont val="Calibri"/>
        <family val="2"/>
        <scheme val="minor"/>
      </rPr>
      <t xml:space="preserve">Flushing: 22 Juni 2026 (terlambat)
</t>
    </r>
    <r>
      <rPr>
        <sz val="24"/>
        <color theme="1"/>
        <rFont val="Calibri"/>
        <family val="2"/>
        <scheme val="minor"/>
      </rPr>
      <t>Tescom: 24 Juni 2026
MC-100: 29 Juni 2026
DPPP: 3 Juli 2026</t>
    </r>
  </si>
  <si>
    <t>Hydrotest: 19 Juni 2026 (Done 22 Juni 2026)
Flushing: 23 Juni 2026
Tescom: 25 Juni 2026
MC-100: 30 Juni 2026
DPPP: 3 Juli 2026</t>
  </si>
  <si>
    <t>Hold</t>
  </si>
  <si>
    <t>Program ini di hold oleh PAM JAYA</t>
  </si>
  <si>
    <t>Hydrotest: 2 Agustus 2026
Flushing: 16 Agustus 2026
Test Comm: 18 Agustus 2026
MC-100: 23 Agustus 2026
DPPP: 28 Agustus 2026</t>
  </si>
  <si>
    <t>Hydrotest: 28 Juli 2026
Flushing: 7 Agustus 2026
Test Comm: 14 Agustus 2026
MC-100: 21 Agustus 2026
DPPP: 26 Agustus 2026</t>
  </si>
  <si>
    <t>Flushing: 28 Juni 2026
Test Comm: 9 Juli 2026
MC-100: 22 Juli 2026
DPPP: 27 Juli 2026</t>
  </si>
  <si>
    <t>Flushing: 7 Juli 2026
Test Comm: 14 Juli 2026
MC-100: 21 Juli 2026
DPPP: 26 Juli 2026</t>
  </si>
  <si>
    <t>Flushing: 15 Juli 2026
Test Comm: 22 Juli 2026
MC-100: 29 Juli 2026
DPPP: 3 Agustus 2026</t>
  </si>
  <si>
    <t>Flushing: 16 Juli 2026
Test Comm: 23 Juli 2026
MC-100: 30 Juli 2026
DPPP: 4 Agustus 2026</t>
  </si>
  <si>
    <t>Flushing: 30 Juli 2026
Test Comm: 6 Agustus 2026
MC-100: 13 Agustus 2026
DPPP: 18 Agustus 2026</t>
  </si>
  <si>
    <t>Tescom: 20 Mei 2026 (Done 20 Mei 2026)
MC-100: 3 Juni 2026 (Done 29 Mei 2026)
Verifikasi Dokumen MC-100: 26 Juni 2026 
DPPP: 1 Juli 2026</t>
  </si>
  <si>
    <t>Tescom: 20 Mei 2026 (Done 20 Mei 2026)
Pengukuran MC-100: 1 Juni 2026 (Done 29 Mei 2026)
Verifikasi Dokumen MC-100: 26 Juni 2026 
DPPP: 1 Juli 2026</t>
  </si>
  <si>
    <t>Verifikasi Dokumen MC-100: 26 Juni 2026 
DPPP: 1 Juli 2026</t>
  </si>
  <si>
    <t>MC-100: 22 Mei 2026 (Done 22 Mei 2026)
Verifikasi Dokumen MC-100: 26 Juni 2026 
DPPP: 1 Juli 2026</t>
  </si>
  <si>
    <t>Tescom: 22 Mei 2026 (Done 22 Mei 2026)
MC-100: 3 Juni 2026 (Done 2 Juni 2026)
Verifikasi Dokumen MC-100: 26 Juni 2026 
DPPP: 1 Juli 2026</t>
  </si>
  <si>
    <t>Tescom: 20 Mei 2026 (Done 20 Mei 2026)
MC-100: 27 Mei 2026 (Done 29 Mei 2026)
Verifikasi Dokumen MC-100: 26 Juni 2026 
DPPP: 1 Juli 2026</t>
  </si>
  <si>
    <t>Hydrotest: 13 Juni 2026  (Done 5 Juni 2026)
Interkoneksi: 16 Juni 2026 (Done 5 Juni 2026)
Flushing: 19 Juni 2026  (Done 12 Juni 2026)
Tescom: 23 Juni 2026 (Done 20 Juni 2026)
MC-100: 26 Juni 2026
DPPP: 1 Juli 2026</t>
  </si>
  <si>
    <t>Hydrotest: 15 Juli 2026
Interkoneksi: 18 Juli 2026
Flushing: 22 Juli 2026
Tescom: 27 Juli 2026
MC-100:  12 Aug 2026
DPPP: 17 Aug 2026</t>
  </si>
  <si>
    <t>Hydrotest: 25 Juni 2026
Interkoneksi: 27 Juni 2026
Flushing: 30 Juni 2026
Tescom: 5 Juli 2026
MC-100:  10 Juli 2026
DPPP: 15 Juli 2026</t>
  </si>
  <si>
    <t>Hydrotest: 24 Juni 2026
Interkoneksi: 27 Juni 2026
Flushing: 30 Juni 2026
Tescom: 2 Juli 2026
MC-100:  6 Juli 2026
DPPP: 11 Juli 2026</t>
  </si>
  <si>
    <t>Tes Com: 11 Sep 2026
MC-100: 17 Sep 2026
DPPP: 22 Sep 2026</t>
  </si>
  <si>
    <t>Flushing: 5 Aug 2026
Tes Com: 10 Aug 2026
MC-100: 18 Aug 2026
DPPP: 23 Aug 2026</t>
  </si>
  <si>
    <t xml:space="preserve">Hydrotest: 10 Juni 2026 (Done 10 Juni 2026)  
Flushing: 7 Juli 2026
Tescom: 14 Juli 2026
MC-100: 17 Juli 2026
DPPP: 22 Juli 2026
</t>
  </si>
  <si>
    <t>Hydrotest: 10 Juli 2026
Flushing: 17 Juli 2026
Tescom: 20 Juli 2026
MC-100: 23 Juli 2026
DPPP: 28 Juli 2026</t>
  </si>
  <si>
    <r>
      <rPr>
        <sz val="24"/>
        <color rgb="FFFF0000"/>
        <rFont val="Calibri"/>
        <family val="2"/>
        <scheme val="minor"/>
      </rPr>
      <t>Flushing: 22 Juni 2026 (terlambat)</t>
    </r>
    <r>
      <rPr>
        <sz val="24"/>
        <color theme="1"/>
        <rFont val="Calibri"/>
        <family val="2"/>
        <scheme val="minor"/>
      </rPr>
      <t xml:space="preserve">
Tescom: 14 Juli 2026
MC-100: 17 Juli 2026
DPPP: 22 Juli 2026</t>
    </r>
  </si>
  <si>
    <r>
      <rPr>
        <sz val="24"/>
        <rFont val="Calibri"/>
        <family val="2"/>
        <scheme val="minor"/>
      </rPr>
      <t xml:space="preserve">Hydrotest: 3 Juli 2026
Interkoneksi: 6 Juli 2026
Flushing: 9 Juli 2026
</t>
    </r>
    <r>
      <rPr>
        <sz val="24"/>
        <color theme="1"/>
        <rFont val="Calibri"/>
        <family val="2"/>
        <scheme val="minor"/>
      </rPr>
      <t>Tescom: 13 Juli 2026
MC-100: 16 Juli 2026
DPPP: 21 Juli 2026</t>
    </r>
  </si>
  <si>
    <t>Hydrotest: 12 Juni 2026 (15 Mei 2026)
Flushing: 17 Juni 2026 (Done 15 Mei 26)
Tescom: 26 Juni 2026
MC-100: 1 Juli 2026
DPPP: 3 Juli 2026</t>
  </si>
  <si>
    <t>1. Hydrotest masih tahap pelaksanaan, sudah selesai dilaksanakan 4 segmen. 
2. Pemasangan pipa untuk metode manual jacking masih dalam proses penggalian pit.</t>
  </si>
  <si>
    <t>1. Hydrotest masih tahap pelaksanaan, sudah selesai dilaksanakan 4 segmen. 
3. Pemasangan pipa untuk metode manual jacking masih dalam proses penggalian pit.</t>
  </si>
  <si>
    <r>
      <rPr>
        <sz val="24"/>
        <rFont val="Calibri"/>
        <family val="2"/>
        <scheme val="minor"/>
      </rPr>
      <t xml:space="preserve">Hydrotest: 15 Juli 2026 </t>
    </r>
    <r>
      <rPr>
        <sz val="24"/>
        <color theme="1"/>
        <rFont val="Calibri"/>
        <family val="2"/>
        <scheme val="minor"/>
      </rPr>
      <t xml:space="preserve">
Flushing: 18 Juli 2026
Tescom: 22 Juli 2026
MC-100: 30 Juli 2026
DPPP: 4 Aug 2026
</t>
    </r>
  </si>
  <si>
    <t>Flushing: 31 Juli 2026
Tes Com: 4 Aug 2026
MC-100: 7 Aug 2026
DPPP: 14 Aug 2026</t>
  </si>
  <si>
    <t>Hydrotest: 22 Juni 2026
Interkoneksi : 29 Juni 2026
Flushing: 13 Juli 2026
Tes Com: 18 Juli 2026
MC-100: 2 Sep 2026
DPPP: 7 Sep 2026</t>
  </si>
  <si>
    <t>Hydrotest: 05 Juli 2026
Interkoneksi : 20 Juli 2026
Flushing: 27 Juli 2026
Tes Com: 5 Aug 2026
MC-100: 15 Aug 2026
DPPP: 20 Aug 2026</t>
  </si>
  <si>
    <t>Test Com: 20 Jul 2026
MC-100: 27 Jul 2026
DPPP: 30 Jul 2026</t>
  </si>
  <si>
    <t>Test Com: 22 Mei 2026 (Done 22 Mei 2026)
MC-100: 17 Juni 2026 (Done 17 Juni 2026)
DPPP: 30 Juni 2026</t>
  </si>
  <si>
    <t xml:space="preserve">
Flushing: 17 Aug 2026
Tes Com: 28 Aug 2026
MC-100: 4 Sept 2026
DPPP: 11 Sept 2026</t>
  </si>
  <si>
    <t>Directorate</t>
  </si>
  <si>
    <t>Jul</t>
  </si>
  <si>
    <t>Jun</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</si>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</sst>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_-* #,##0_-;\-* #,##0_-;_-* &quot;-&quot;??_-;_-@_-"/>
    <numFmt numFmtId="166" formatCode="_(* #,##0_);_(* \(#,##0\);_(* &quot;-&quot;??_);_(@_)"/>
    <numFmt numFmtId="167" formatCode="[$-409]d\-mmm\-yy;@"/>
    <numFmt numFmtId="168" formatCode="[$-13809]d\ mmm\ yyyy;@"/>
  </numFmts>
  <fonts count="29" x14ac:knownFonts="1">
    <font>
      <sz val="11"/>
      <color theme="1"/>
      <name val="Calibri"/>
      <family val="2"/>
      <scheme val="minor"/>
    </font>
    <font>
      <sz val="11"/>
      <color theme="1"/>
      <name val="Calibri"/>
      <family val="2"/>
      <scheme val="minor"/>
    </font>
    <font>
      <sz val="14"/>
      <color theme="1"/>
      <name val="Calibri"/>
      <family val="2"/>
      <scheme val="minor"/>
    </font>
    <font>
      <b/>
      <sz val="14"/>
      <color rgb="FFFFFFFF"/>
      <name val="Calibri"/>
      <family val="2"/>
      <scheme val="minor"/>
    </font>
    <font>
      <b/>
      <sz val="16"/>
      <color rgb="FFFFFFFF"/>
      <name val="Calibri"/>
      <family val="2"/>
      <scheme val="minor"/>
    </font>
    <font>
      <sz val="16"/>
      <color theme="1"/>
      <name val="Calibri"/>
      <family val="2"/>
      <scheme val="minor"/>
    </font>
    <font>
      <b/>
      <sz val="16"/>
      <color theme="1"/>
      <name val="Calibri"/>
      <family val="2"/>
      <scheme val="minor"/>
    </font>
    <font>
      <b/>
      <sz val="22"/>
      <color rgb="FFFFFFFF"/>
      <name val="Calibri"/>
      <family val="2"/>
      <scheme val="minor"/>
    </font>
    <font>
      <sz val="22"/>
      <color theme="1"/>
      <name val="Calibri"/>
      <family val="2"/>
      <scheme val="minor"/>
    </font>
    <font>
      <sz val="18"/>
      <color theme="1"/>
      <name val="Calibri"/>
      <family val="2"/>
      <scheme val="minor"/>
    </font>
    <font>
      <b/>
      <sz val="18"/>
      <color theme="1"/>
      <name val="Calibri"/>
      <family val="2"/>
      <scheme val="minor"/>
    </font>
    <font>
      <b/>
      <sz val="22"/>
      <color theme="1"/>
      <name val="Calibri"/>
      <family val="2"/>
      <scheme val="minor"/>
    </font>
    <font>
      <b/>
      <sz val="28"/>
      <color rgb="FFFFFFFF"/>
      <name val="Calibri"/>
      <family val="2"/>
      <scheme val="minor"/>
    </font>
    <font>
      <sz val="28"/>
      <color theme="1"/>
      <name val="Calibri"/>
      <family val="2"/>
      <scheme val="minor"/>
    </font>
    <font>
      <b/>
      <sz val="28"/>
      <color theme="1"/>
      <name val="Calibri"/>
      <family val="2"/>
      <scheme val="minor"/>
    </font>
    <font>
      <b/>
      <sz val="16"/>
      <color theme="0"/>
      <name val="Calibri"/>
      <family val="2"/>
      <scheme val="minor"/>
    </font>
    <font>
      <sz val="16"/>
      <color rgb="FF000000"/>
      <name val="Calibri"/>
      <family val="2"/>
    </font>
    <font>
      <sz val="16"/>
      <color theme="0"/>
      <name val="Calibri"/>
      <family val="2"/>
      <scheme val="minor"/>
    </font>
    <font>
      <sz val="16"/>
      <color theme="0"/>
      <name val="Calibri"/>
      <family val="2"/>
    </font>
    <font>
      <sz val="16"/>
      <name val="Calibri"/>
      <family val="2"/>
      <scheme val="minor"/>
    </font>
    <font>
      <sz val="16"/>
      <name val="Calibri"/>
      <family val="2"/>
    </font>
    <font>
      <sz val="24"/>
      <color theme="1"/>
      <name val="Calibri"/>
      <family val="2"/>
      <scheme val="minor"/>
    </font>
    <font>
      <b/>
      <sz val="24"/>
      <color rgb="FFFFFFFF"/>
      <name val="Calibri"/>
      <family val="2"/>
      <scheme val="minor"/>
    </font>
    <font>
      <sz val="24"/>
      <color rgb="FFFF0000"/>
      <name val="Calibri"/>
      <family val="2"/>
      <scheme val="minor"/>
    </font>
    <font>
      <sz val="24"/>
      <color rgb="FF000000"/>
      <name val="Calibri"/>
      <family val="2"/>
      <scheme val="minor"/>
    </font>
    <font>
      <b/>
      <sz val="24"/>
      <color theme="1"/>
      <name val="Calibri"/>
      <family val="2"/>
      <scheme val="minor"/>
    </font>
    <font>
      <sz val="24"/>
      <name val="Calibri"/>
      <family val="2"/>
      <scheme val="minor"/>
    </font>
    <font>
      <sz val="24"/>
      <color rgb="FF242424"/>
      <name val="Calibri"/>
      <family val="2"/>
      <scheme val="minor"/>
    </font>
    <font>
      <b/>
      <sz val="24"/>
      <color theme="0"/>
      <name val="Calibri"/>
      <family val="2"/>
      <scheme val="minor"/>
    </font>
  </fonts>
  <fills count="9">
    <fill>
      <patternFill patternType="none"/>
    </fill>
    <fill>
      <patternFill patternType="gray125"/>
    </fill>
    <fill>
      <patternFill patternType="solid">
        <fgColor rgb="FF0070C0"/>
        <bgColor rgb="FF000000"/>
      </patternFill>
    </fill>
    <fill>
      <patternFill patternType="solid">
        <fgColor rgb="FFFFFF00"/>
        <bgColor indexed="64"/>
      </patternFill>
    </fill>
    <fill>
      <patternFill patternType="solid">
        <fgColor theme="9"/>
        <bgColor indexed="64"/>
      </patternFill>
    </fill>
    <fill>
      <patternFill patternType="solid">
        <fgColor rgb="FF0070C0"/>
        <bgColor indexed="64"/>
      </patternFill>
    </fill>
    <fill>
      <patternFill patternType="solid">
        <fgColor rgb="FF00B0F0"/>
        <bgColor indexed="64"/>
      </patternFill>
    </fill>
    <fill>
      <patternFill patternType="solid">
        <fgColor theme="0"/>
        <bgColor indexed="64"/>
      </patternFill>
    </fill>
    <fill>
      <patternFill patternType="solid">
        <fgColor rgb="FFFF00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rgb="FF000000"/>
      </left>
      <right style="thin">
        <color rgb="FF000000"/>
      </right>
      <top/>
      <bottom/>
      <diagonal/>
    </border>
    <border>
      <left style="thin">
        <color indexed="64"/>
      </left>
      <right style="thin">
        <color indexed="64"/>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39">
    <xf numFmtId="0" fontId="0" fillId="0" borderId="0" xfId="0"/>
    <xf numFmtId="0" fontId="0" fillId="0" borderId="0" xfId="0" applyAlignment="1">
      <alignment horizontal="center"/>
    </xf>
    <xf numFmtId="0" fontId="0" fillId="0" borderId="0" xfId="0" applyAlignment="1">
      <alignment vertical="top"/>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vertical="center"/>
    </xf>
    <xf numFmtId="165" fontId="5" fillId="0" borderId="1" xfId="1" applyNumberFormat="1" applyFont="1" applyBorder="1" applyAlignment="1">
      <alignment vertical="center"/>
    </xf>
    <xf numFmtId="165" fontId="5" fillId="0" borderId="1" xfId="0" applyNumberFormat="1" applyFont="1" applyBorder="1" applyAlignment="1">
      <alignment vertical="center"/>
    </xf>
    <xf numFmtId="9" fontId="5" fillId="0" borderId="1" xfId="2" applyFont="1" applyBorder="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5" fontId="0" fillId="0" borderId="0" xfId="0" applyNumberFormat="1" applyAlignment="1">
      <alignment horizontal="left" vertical="center" wrapText="1"/>
    </xf>
    <xf numFmtId="0" fontId="3" fillId="2" borderId="7" xfId="0" applyFont="1" applyFill="1" applyBorder="1" applyAlignment="1">
      <alignment horizontal="center" vertical="center" wrapText="1"/>
    </xf>
    <xf numFmtId="168" fontId="2" fillId="7" borderId="7" xfId="0" applyNumberFormat="1" applyFont="1" applyFill="1" applyBorder="1" applyAlignment="1">
      <alignment horizontal="center" vertical="center"/>
    </xf>
    <xf numFmtId="168" fontId="2" fillId="0" borderId="7" xfId="0" applyNumberFormat="1" applyFont="1" applyBorder="1" applyAlignment="1">
      <alignment horizontal="center" vertical="center"/>
    </xf>
    <xf numFmtId="0" fontId="0" fillId="0" borderId="7" xfId="0" applyBorder="1"/>
    <xf numFmtId="0" fontId="2" fillId="0" borderId="0" xfId="0" applyFont="1"/>
    <xf numFmtId="0" fontId="2" fillId="0" borderId="0" xfId="0" applyFont="1" applyAlignment="1">
      <alignment vertical="top"/>
    </xf>
    <xf numFmtId="0" fontId="0" fillId="0" borderId="0" xfId="0" applyAlignment="1">
      <alignment horizontal="left" vertical="center" wrapText="1"/>
    </xf>
    <xf numFmtId="0" fontId="5" fillId="0" borderId="10" xfId="0" applyFont="1" applyBorder="1" applyAlignment="1">
      <alignment vertical="center" wrapText="1"/>
    </xf>
    <xf numFmtId="165" fontId="5" fillId="0" borderId="10" xfId="1" applyNumberFormat="1" applyFont="1" applyBorder="1" applyAlignment="1">
      <alignment vertical="center"/>
    </xf>
    <xf numFmtId="165" fontId="5" fillId="0" borderId="10" xfId="0" applyNumberFormat="1" applyFont="1" applyBorder="1" applyAlignment="1">
      <alignment vertical="center"/>
    </xf>
    <xf numFmtId="0" fontId="5" fillId="0" borderId="10" xfId="0" applyFont="1" applyBorder="1" applyAlignment="1">
      <alignment horizontal="center" vertical="center" wrapText="1"/>
    </xf>
    <xf numFmtId="9" fontId="5" fillId="0" borderId="10" xfId="2" applyFont="1" applyBorder="1" applyAlignment="1">
      <alignment vertical="center"/>
    </xf>
    <xf numFmtId="15" fontId="5" fillId="0" borderId="1" xfId="0" applyNumberFormat="1" applyFont="1" applyBorder="1" applyAlignment="1">
      <alignment horizontal="left"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8" fillId="0" borderId="1" xfId="0" applyFont="1" applyBorder="1" applyAlignment="1">
      <alignment vertical="center"/>
    </xf>
    <xf numFmtId="0" fontId="8" fillId="0" borderId="1" xfId="0" applyFont="1" applyBorder="1" applyAlignment="1">
      <alignment vertical="center" wrapText="1"/>
    </xf>
    <xf numFmtId="165" fontId="8" fillId="0" borderId="1" xfId="1" applyNumberFormat="1" applyFont="1" applyBorder="1" applyAlignment="1">
      <alignment vertical="center"/>
    </xf>
    <xf numFmtId="165" fontId="8" fillId="0" borderId="1" xfId="0" applyNumberFormat="1" applyFont="1" applyBorder="1" applyAlignment="1">
      <alignment vertical="center"/>
    </xf>
    <xf numFmtId="0" fontId="8" fillId="0" borderId="1" xfId="0" applyFont="1" applyBorder="1" applyAlignment="1">
      <alignment horizontal="center" vertical="center" wrapText="1"/>
    </xf>
    <xf numFmtId="9" fontId="8" fillId="0" borderId="1" xfId="2" applyFont="1" applyBorder="1" applyAlignment="1">
      <alignment vertical="center"/>
    </xf>
    <xf numFmtId="0" fontId="8" fillId="0" borderId="12" xfId="0" applyFont="1" applyBorder="1" applyAlignment="1">
      <alignment vertical="center" wrapText="1"/>
    </xf>
    <xf numFmtId="0" fontId="8" fillId="0" borderId="1" xfId="0" applyFont="1" applyBorder="1" applyAlignment="1">
      <alignment horizontal="left" vertical="center" wrapText="1"/>
    </xf>
    <xf numFmtId="15" fontId="5" fillId="0" borderId="1" xfId="0" applyNumberFormat="1" applyFont="1" applyBorder="1" applyAlignment="1">
      <alignment vertical="center" wrapText="1"/>
    </xf>
    <xf numFmtId="165" fontId="5" fillId="0" borderId="1" xfId="1" applyNumberFormat="1" applyFont="1" applyFill="1" applyBorder="1" applyAlignment="1">
      <alignment vertical="center"/>
    </xf>
    <xf numFmtId="9" fontId="5" fillId="0" borderId="1" xfId="2" applyFont="1" applyFill="1" applyBorder="1" applyAlignment="1">
      <alignment vertical="center"/>
    </xf>
    <xf numFmtId="0" fontId="6" fillId="0" borderId="1" xfId="0" applyFont="1" applyBorder="1" applyAlignment="1">
      <alignment horizontal="centerContinuous" vertical="center" wrapText="1"/>
    </xf>
    <xf numFmtId="166" fontId="6" fillId="0" borderId="1" xfId="0" applyNumberFormat="1" applyFont="1" applyBorder="1" applyAlignment="1">
      <alignment horizontal="right" vertical="center"/>
    </xf>
    <xf numFmtId="9" fontId="6" fillId="0" borderId="1" xfId="0" applyNumberFormat="1" applyFont="1" applyBorder="1" applyAlignment="1">
      <alignment horizontal="right" vertical="center"/>
    </xf>
    <xf numFmtId="0" fontId="9" fillId="0" borderId="1" xfId="0" applyFont="1" applyBorder="1" applyAlignment="1">
      <alignment horizontal="center" vertical="center" wrapText="1"/>
    </xf>
    <xf numFmtId="0" fontId="9" fillId="0" borderId="1" xfId="0" applyFont="1" applyBorder="1" applyAlignment="1">
      <alignment vertical="center" wrapText="1"/>
    </xf>
    <xf numFmtId="165" fontId="9" fillId="0" borderId="1" xfId="1" applyNumberFormat="1" applyFont="1" applyBorder="1" applyAlignment="1">
      <alignment vertical="center"/>
    </xf>
    <xf numFmtId="165" fontId="9" fillId="0" borderId="1" xfId="0" applyNumberFormat="1" applyFont="1" applyBorder="1" applyAlignment="1">
      <alignment vertical="center"/>
    </xf>
    <xf numFmtId="9" fontId="9" fillId="0" borderId="1" xfId="2" applyFont="1" applyBorder="1" applyAlignment="1">
      <alignment vertical="center"/>
    </xf>
    <xf numFmtId="0" fontId="9" fillId="0" borderId="1" xfId="0" applyFont="1" applyBorder="1" applyAlignment="1">
      <alignment horizontal="left" vertical="center" wrapText="1"/>
    </xf>
    <xf numFmtId="15" fontId="9" fillId="0" borderId="1" xfId="0" applyNumberFormat="1" applyFont="1" applyBorder="1" applyAlignment="1">
      <alignment horizontal="left" vertical="center" wrapText="1"/>
    </xf>
    <xf numFmtId="0" fontId="10" fillId="0" borderId="1" xfId="0" applyFont="1" applyBorder="1" applyAlignment="1">
      <alignment horizontal="centerContinuous" vertical="center" wrapText="1"/>
    </xf>
    <xf numFmtId="166" fontId="10" fillId="0" borderId="1" xfId="0" applyNumberFormat="1" applyFont="1" applyBorder="1" applyAlignment="1">
      <alignment horizontal="right" vertical="center"/>
    </xf>
    <xf numFmtId="9" fontId="10" fillId="0" borderId="1" xfId="0" applyNumberFormat="1" applyFont="1" applyBorder="1" applyAlignment="1">
      <alignment horizontal="right" vertical="center"/>
    </xf>
    <xf numFmtId="0" fontId="9" fillId="0" borderId="1" xfId="0" applyFont="1" applyBorder="1" applyAlignment="1">
      <alignment vertical="center"/>
    </xf>
    <xf numFmtId="15" fontId="8" fillId="0" borderId="1" xfId="0" applyNumberFormat="1" applyFont="1" applyBorder="1" applyAlignment="1">
      <alignment horizontal="left" vertical="center" wrapText="1"/>
    </xf>
    <xf numFmtId="0" fontId="8" fillId="0" borderId="0" xfId="0" applyFont="1"/>
    <xf numFmtId="15" fontId="8" fillId="0" borderId="1" xfId="0" applyNumberFormat="1" applyFont="1" applyBorder="1" applyAlignment="1">
      <alignment vertical="center" wrapText="1"/>
    </xf>
    <xf numFmtId="0" fontId="8" fillId="0" borderId="12" xfId="0" applyFont="1" applyBorder="1" applyAlignment="1">
      <alignment horizontal="center" vertical="center" wrapText="1"/>
    </xf>
    <xf numFmtId="0" fontId="8" fillId="0" borderId="1" xfId="0" applyFont="1" applyBorder="1" applyAlignment="1">
      <alignment vertical="top"/>
    </xf>
    <xf numFmtId="15" fontId="8" fillId="0" borderId="1" xfId="0" applyNumberFormat="1" applyFont="1" applyBorder="1" applyAlignment="1">
      <alignment horizontal="left" vertical="top" wrapText="1"/>
    </xf>
    <xf numFmtId="165" fontId="8" fillId="0" borderId="1" xfId="1" applyNumberFormat="1" applyFont="1" applyFill="1" applyBorder="1" applyAlignment="1">
      <alignment vertical="center"/>
    </xf>
    <xf numFmtId="9" fontId="8" fillId="0" borderId="1" xfId="2" applyFont="1" applyFill="1" applyBorder="1" applyAlignment="1">
      <alignment vertical="center"/>
    </xf>
    <xf numFmtId="165" fontId="8" fillId="0" borderId="12" xfId="1" applyNumberFormat="1" applyFont="1" applyFill="1" applyBorder="1" applyAlignment="1">
      <alignment vertical="center"/>
    </xf>
    <xf numFmtId="165" fontId="8" fillId="0" borderId="12" xfId="0" applyNumberFormat="1" applyFont="1" applyBorder="1" applyAlignment="1">
      <alignment vertical="center"/>
    </xf>
    <xf numFmtId="9" fontId="8" fillId="0" borderId="12" xfId="2" applyFont="1" applyFill="1" applyBorder="1" applyAlignment="1">
      <alignment vertical="center"/>
    </xf>
    <xf numFmtId="0" fontId="8" fillId="0" borderId="12" xfId="0" applyFont="1" applyBorder="1" applyAlignment="1">
      <alignment horizontal="left" vertical="center" wrapText="1"/>
    </xf>
    <xf numFmtId="0" fontId="11" fillId="0" borderId="1" xfId="0" applyFont="1" applyBorder="1" applyAlignment="1">
      <alignment horizontal="centerContinuous" vertical="center" wrapText="1"/>
    </xf>
    <xf numFmtId="166" fontId="11" fillId="0" borderId="1" xfId="0" applyNumberFormat="1" applyFont="1" applyBorder="1" applyAlignment="1">
      <alignment horizontal="right" vertical="center"/>
    </xf>
    <xf numFmtId="9" fontId="11" fillId="0" borderId="1" xfId="0" applyNumberFormat="1" applyFont="1" applyBorder="1" applyAlignment="1">
      <alignment horizontal="right" vertical="center"/>
    </xf>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vertical="center" wrapText="1"/>
    </xf>
    <xf numFmtId="165" fontId="13" fillId="0" borderId="1" xfId="1" applyNumberFormat="1" applyFont="1" applyBorder="1" applyAlignment="1">
      <alignment horizontal="center" vertical="center"/>
    </xf>
    <xf numFmtId="0" fontId="13" fillId="0" borderId="1" xfId="0" applyFont="1" applyBorder="1" applyAlignment="1">
      <alignment vertical="center"/>
    </xf>
    <xf numFmtId="165" fontId="13" fillId="0" borderId="1" xfId="1" applyNumberFormat="1" applyFont="1" applyBorder="1" applyAlignment="1">
      <alignment vertical="center"/>
    </xf>
    <xf numFmtId="165" fontId="13" fillId="0" borderId="1" xfId="0" applyNumberFormat="1" applyFont="1" applyBorder="1" applyAlignment="1">
      <alignment horizontal="center" vertical="center"/>
    </xf>
    <xf numFmtId="9" fontId="13" fillId="0" borderId="1" xfId="2" applyFont="1" applyBorder="1" applyAlignment="1">
      <alignment horizontal="center" vertical="center"/>
    </xf>
    <xf numFmtId="0" fontId="13" fillId="0" borderId="1" xfId="0" applyFont="1" applyBorder="1" applyAlignment="1">
      <alignment horizontal="left" vertical="center" wrapText="1"/>
    </xf>
    <xf numFmtId="15" fontId="13" fillId="0" borderId="1" xfId="0" applyNumberFormat="1" applyFont="1" applyBorder="1" applyAlignment="1">
      <alignment horizontal="left" vertical="center" wrapText="1"/>
    </xf>
    <xf numFmtId="166" fontId="14" fillId="0" borderId="1" xfId="0" applyNumberFormat="1" applyFont="1" applyBorder="1" applyAlignment="1">
      <alignment vertical="center"/>
    </xf>
    <xf numFmtId="9" fontId="13" fillId="0" borderId="1" xfId="2" applyFont="1" applyBorder="1" applyAlignment="1">
      <alignment vertical="center"/>
    </xf>
    <xf numFmtId="0" fontId="13" fillId="0" borderId="1" xfId="0" applyFont="1" applyBorder="1"/>
    <xf numFmtId="0" fontId="15"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5" fillId="0" borderId="0" xfId="0" applyFont="1"/>
    <xf numFmtId="0" fontId="5" fillId="5" borderId="1" xfId="0" applyFont="1" applyFill="1" applyBorder="1" applyAlignment="1">
      <alignment wrapText="1"/>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16" fillId="0" borderId="1" xfId="0" applyFont="1" applyBorder="1" applyAlignment="1">
      <alignment vertical="center"/>
    </xf>
    <xf numFmtId="0" fontId="16" fillId="0" borderId="1" xfId="0" applyFont="1" applyBorder="1" applyAlignment="1">
      <alignment horizontal="left" vertical="center" wrapText="1"/>
    </xf>
    <xf numFmtId="0" fontId="16" fillId="0" borderId="1" xfId="0" applyFont="1" applyBorder="1" applyAlignment="1">
      <alignment horizontal="left" vertical="center"/>
    </xf>
    <xf numFmtId="0" fontId="5" fillId="0" borderId="1" xfId="0" applyFont="1" applyBorder="1" applyAlignment="1">
      <alignment wrapText="1"/>
    </xf>
    <xf numFmtId="0" fontId="16" fillId="0" borderId="1" xfId="0" applyFont="1" applyBorder="1" applyAlignment="1">
      <alignment vertical="center" wrapText="1"/>
    </xf>
    <xf numFmtId="0" fontId="17" fillId="8" borderId="1" xfId="0" applyFont="1" applyFill="1" applyBorder="1" applyAlignment="1">
      <alignment horizontal="center" vertical="center"/>
    </xf>
    <xf numFmtId="0" fontId="17" fillId="8" borderId="1" xfId="0" applyFont="1" applyFill="1" applyBorder="1" applyAlignment="1">
      <alignment vertical="center"/>
    </xf>
    <xf numFmtId="0" fontId="18" fillId="8" borderId="1" xfId="0" applyFont="1" applyFill="1" applyBorder="1" applyAlignment="1">
      <alignment vertical="center"/>
    </xf>
    <xf numFmtId="0" fontId="18" fillId="8" borderId="1" xfId="0" applyFont="1" applyFill="1" applyBorder="1" applyAlignment="1">
      <alignment horizontal="left" vertical="center" wrapText="1"/>
    </xf>
    <xf numFmtId="0" fontId="18" fillId="8" borderId="1" xfId="0" applyFont="1" applyFill="1" applyBorder="1" applyAlignment="1">
      <alignment horizontal="left" vertical="center"/>
    </xf>
    <xf numFmtId="0" fontId="17" fillId="8" borderId="1" xfId="0" applyFont="1" applyFill="1" applyBorder="1" applyAlignment="1">
      <alignment horizontal="left" vertical="center" wrapText="1"/>
    </xf>
    <xf numFmtId="0" fontId="17" fillId="8" borderId="1" xfId="0" applyFont="1" applyFill="1" applyBorder="1" applyAlignment="1">
      <alignment horizontal="center" wrapText="1"/>
    </xf>
    <xf numFmtId="0" fontId="17" fillId="8" borderId="1" xfId="0" applyFont="1" applyFill="1" applyBorder="1" applyAlignment="1">
      <alignment horizontal="center" vertical="center" wrapText="1"/>
    </xf>
    <xf numFmtId="0" fontId="5" fillId="0" borderId="0" xfId="0" applyFont="1" applyAlignment="1">
      <alignment wrapText="1"/>
    </xf>
    <xf numFmtId="165" fontId="5" fillId="0" borderId="1" xfId="1"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9" fontId="4" fillId="2" borderId="1" xfId="2" applyFont="1" applyFill="1" applyBorder="1" applyAlignment="1">
      <alignment horizontal="center" vertical="center" wrapText="1"/>
    </xf>
    <xf numFmtId="9" fontId="15" fillId="5" borderId="1" xfId="2" applyFont="1" applyFill="1" applyBorder="1" applyAlignment="1">
      <alignment horizontal="center" vertical="center" wrapText="1"/>
    </xf>
    <xf numFmtId="9" fontId="5" fillId="0" borderId="1" xfId="2" applyFont="1" applyBorder="1" applyAlignment="1">
      <alignment horizontal="center" vertical="center" wrapText="1"/>
    </xf>
    <xf numFmtId="9" fontId="5" fillId="0" borderId="0" xfId="2" applyFont="1" applyAlignment="1">
      <alignment wrapText="1"/>
    </xf>
    <xf numFmtId="165" fontId="4" fillId="2" borderId="1" xfId="1" applyNumberFormat="1" applyFont="1" applyFill="1" applyBorder="1" applyAlignment="1">
      <alignment horizontal="center" vertical="center" wrapText="1"/>
    </xf>
    <xf numFmtId="165" fontId="15" fillId="5" borderId="1" xfId="1" applyNumberFormat="1" applyFont="1" applyFill="1" applyBorder="1" applyAlignment="1">
      <alignment horizontal="center" vertical="center" wrapText="1"/>
    </xf>
    <xf numFmtId="165" fontId="5" fillId="0" borderId="0" xfId="1" applyNumberFormat="1" applyFont="1" applyAlignment="1">
      <alignment wrapText="1"/>
    </xf>
    <xf numFmtId="165" fontId="17" fillId="8" borderId="1" xfId="1" applyNumberFormat="1" applyFont="1" applyFill="1" applyBorder="1" applyAlignment="1">
      <alignment horizontal="center" vertical="center" wrapText="1"/>
    </xf>
    <xf numFmtId="9" fontId="17" fillId="8" borderId="1" xfId="2" applyFont="1" applyFill="1" applyBorder="1" applyAlignment="1">
      <alignment horizontal="center" vertical="center" wrapText="1"/>
    </xf>
    <xf numFmtId="0" fontId="15" fillId="5" borderId="1" xfId="0" applyFont="1" applyFill="1" applyBorder="1" applyAlignment="1">
      <alignment horizontal="left" vertical="center" wrapText="1"/>
    </xf>
    <xf numFmtId="0" fontId="5" fillId="0" borderId="0" xfId="0" applyFont="1" applyAlignment="1">
      <alignment horizontal="left" vertical="center" wrapText="1"/>
    </xf>
    <xf numFmtId="0" fontId="19" fillId="0" borderId="1" xfId="0" applyFont="1" applyBorder="1" applyAlignment="1">
      <alignment horizontal="center" vertical="center"/>
    </xf>
    <xf numFmtId="0" fontId="19" fillId="0" borderId="1" xfId="0" applyFont="1" applyBorder="1" applyAlignment="1">
      <alignment vertical="center"/>
    </xf>
    <xf numFmtId="0" fontId="20" fillId="0" borderId="1" xfId="0" applyFont="1" applyBorder="1" applyAlignment="1">
      <alignment vertical="center"/>
    </xf>
    <xf numFmtId="0" fontId="20" fillId="0" borderId="1" xfId="0" applyFont="1" applyBorder="1" applyAlignment="1">
      <alignment horizontal="left" vertical="center"/>
    </xf>
    <xf numFmtId="0" fontId="19" fillId="0" borderId="1" xfId="0" applyFont="1" applyBorder="1" applyAlignment="1">
      <alignment horizontal="center" vertical="center" wrapText="1"/>
    </xf>
    <xf numFmtId="165" fontId="19" fillId="0" borderId="1" xfId="1" applyNumberFormat="1" applyFont="1" applyFill="1" applyBorder="1" applyAlignment="1">
      <alignment horizontal="center" vertical="center" wrapText="1"/>
    </xf>
    <xf numFmtId="9" fontId="19" fillId="0" borderId="1" xfId="2" applyFont="1" applyFill="1" applyBorder="1" applyAlignment="1">
      <alignment horizontal="center" vertical="center" wrapText="1"/>
    </xf>
    <xf numFmtId="0" fontId="21" fillId="0" borderId="0" xfId="0" applyFont="1"/>
    <xf numFmtId="0" fontId="21" fillId="0" borderId="0" xfId="0" applyFont="1" applyAlignment="1">
      <alignment horizontal="center"/>
    </xf>
    <xf numFmtId="0" fontId="22" fillId="2" borderId="1" xfId="0" applyFont="1" applyFill="1" applyBorder="1" applyAlignment="1">
      <alignment horizontal="center" vertical="center"/>
    </xf>
    <xf numFmtId="0" fontId="21" fillId="0" borderId="0" xfId="0" applyFont="1" applyAlignment="1">
      <alignment wrapText="1"/>
    </xf>
    <xf numFmtId="0" fontId="22" fillId="2" borderId="1"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1" fillId="0" borderId="0" xfId="0" applyFont="1" applyAlignment="1">
      <alignment vertical="top"/>
    </xf>
    <xf numFmtId="0" fontId="21" fillId="0" borderId="1" xfId="0" applyFont="1" applyBorder="1" applyAlignment="1">
      <alignment horizontal="center" vertical="center"/>
    </xf>
    <xf numFmtId="0" fontId="21" fillId="0" borderId="1" xfId="0" applyFont="1" applyBorder="1" applyAlignment="1">
      <alignment vertical="center" wrapText="1"/>
    </xf>
    <xf numFmtId="0" fontId="23" fillId="0" borderId="10" xfId="0" applyFont="1" applyBorder="1" applyAlignment="1">
      <alignment horizontal="center" vertical="center"/>
    </xf>
    <xf numFmtId="0" fontId="23" fillId="0" borderId="10" xfId="0" applyFont="1" applyBorder="1" applyAlignment="1">
      <alignment vertical="center" wrapText="1"/>
    </xf>
    <xf numFmtId="0" fontId="21" fillId="0" borderId="10" xfId="0" applyFont="1" applyBorder="1" applyAlignment="1">
      <alignment horizontal="center" vertical="center"/>
    </xf>
    <xf numFmtId="0" fontId="21" fillId="0" borderId="10" xfId="0" applyFont="1" applyBorder="1" applyAlignment="1">
      <alignment vertical="center" wrapText="1"/>
    </xf>
    <xf numFmtId="0" fontId="23" fillId="0" borderId="1" xfId="0" applyFont="1" applyBorder="1" applyAlignment="1">
      <alignment horizontal="center" vertical="center"/>
    </xf>
    <xf numFmtId="0" fontId="23" fillId="0" borderId="1" xfId="0" applyFont="1" applyBorder="1" applyAlignment="1">
      <alignment vertical="center" wrapText="1"/>
    </xf>
    <xf numFmtId="0" fontId="21" fillId="0" borderId="1" xfId="0" applyFont="1" applyBorder="1" applyAlignment="1">
      <alignment vertical="center"/>
    </xf>
    <xf numFmtId="165" fontId="21" fillId="0" borderId="1" xfId="1" applyNumberFormat="1" applyFont="1" applyBorder="1" applyAlignment="1">
      <alignment vertical="center"/>
    </xf>
    <xf numFmtId="0" fontId="23" fillId="0" borderId="10" xfId="0" applyFont="1" applyBorder="1" applyAlignment="1">
      <alignment vertical="center"/>
    </xf>
    <xf numFmtId="165" fontId="23" fillId="0" borderId="10" xfId="1" applyNumberFormat="1" applyFont="1" applyBorder="1" applyAlignment="1">
      <alignment vertical="center"/>
    </xf>
    <xf numFmtId="0" fontId="21" fillId="0" borderId="10" xfId="0" applyFont="1" applyBorder="1" applyAlignment="1">
      <alignment vertical="center"/>
    </xf>
    <xf numFmtId="165" fontId="21" fillId="0" borderId="10" xfId="1" applyNumberFormat="1" applyFont="1" applyBorder="1" applyAlignment="1">
      <alignment vertical="center"/>
    </xf>
    <xf numFmtId="0" fontId="23" fillId="0" borderId="1" xfId="0" applyFont="1" applyBorder="1" applyAlignment="1">
      <alignment vertical="center"/>
    </xf>
    <xf numFmtId="165" fontId="23" fillId="0" borderId="1" xfId="1" applyNumberFormat="1" applyFont="1" applyBorder="1" applyAlignment="1">
      <alignment vertical="center"/>
    </xf>
    <xf numFmtId="165" fontId="21" fillId="0" borderId="1" xfId="0" applyNumberFormat="1" applyFont="1" applyBorder="1" applyAlignment="1">
      <alignment vertical="center"/>
    </xf>
    <xf numFmtId="9" fontId="21" fillId="0" borderId="1" xfId="2" applyFont="1" applyBorder="1" applyAlignment="1">
      <alignment vertical="center"/>
    </xf>
    <xf numFmtId="0" fontId="21" fillId="0" borderId="1" xfId="0" applyFont="1" applyBorder="1" applyAlignment="1">
      <alignment horizontal="center" vertical="center" wrapText="1"/>
    </xf>
    <xf numFmtId="9" fontId="23" fillId="0" borderId="10" xfId="2" applyFont="1" applyBorder="1" applyAlignment="1">
      <alignment vertical="center"/>
    </xf>
    <xf numFmtId="0" fontId="23" fillId="0" borderId="10" xfId="0" applyFont="1" applyBorder="1" applyAlignment="1">
      <alignment horizontal="center" vertical="center" wrapText="1"/>
    </xf>
    <xf numFmtId="0" fontId="23" fillId="0" borderId="6" xfId="0" applyFont="1" applyBorder="1" applyAlignment="1">
      <alignment horizontal="center" vertical="center" wrapText="1"/>
    </xf>
    <xf numFmtId="9" fontId="21" fillId="0" borderId="10" xfId="2" applyFont="1" applyBorder="1" applyAlignment="1">
      <alignment vertical="center"/>
    </xf>
    <xf numFmtId="0" fontId="21" fillId="0" borderId="10" xfId="0" applyFont="1" applyBorder="1" applyAlignment="1">
      <alignment horizontal="center" vertical="center" wrapText="1"/>
    </xf>
    <xf numFmtId="0" fontId="23" fillId="0" borderId="6" xfId="0" applyFont="1" applyBorder="1" applyAlignment="1">
      <alignment vertical="center" wrapText="1"/>
    </xf>
    <xf numFmtId="165" fontId="23" fillId="0" borderId="1" xfId="0" applyNumberFormat="1" applyFont="1" applyBorder="1" applyAlignment="1">
      <alignment vertical="center"/>
    </xf>
    <xf numFmtId="9" fontId="23" fillId="0" borderId="1" xfId="2" applyFont="1" applyBorder="1" applyAlignment="1">
      <alignment vertical="center"/>
    </xf>
    <xf numFmtId="0" fontId="23" fillId="0" borderId="1" xfId="0" applyFont="1" applyBorder="1" applyAlignment="1">
      <alignment horizontal="center" vertical="center" wrapText="1"/>
    </xf>
    <xf numFmtId="0" fontId="23" fillId="0" borderId="4" xfId="0" applyFont="1" applyBorder="1" applyAlignment="1">
      <alignment vertical="center" wrapText="1"/>
    </xf>
    <xf numFmtId="0" fontId="21" fillId="0" borderId="11" xfId="0" applyFont="1" applyBorder="1" applyAlignment="1">
      <alignment vertical="center" wrapText="1"/>
    </xf>
    <xf numFmtId="167" fontId="21" fillId="0" borderId="11" xfId="0" applyNumberFormat="1" applyFont="1" applyBorder="1" applyAlignment="1">
      <alignment vertical="top" wrapText="1"/>
    </xf>
    <xf numFmtId="167" fontId="21" fillId="0" borderId="10" xfId="0" applyNumberFormat="1" applyFont="1" applyBorder="1" applyAlignment="1">
      <alignment vertical="top" wrapText="1"/>
    </xf>
    <xf numFmtId="0" fontId="21" fillId="0" borderId="10" xfId="0" applyFont="1" applyBorder="1" applyAlignment="1">
      <alignment vertical="top" wrapText="1"/>
    </xf>
    <xf numFmtId="0" fontId="23" fillId="0" borderId="16" xfId="0" applyFont="1" applyBorder="1" applyAlignment="1">
      <alignment vertical="center" wrapText="1"/>
    </xf>
    <xf numFmtId="0" fontId="23" fillId="0" borderId="11" xfId="0" applyFont="1" applyBorder="1" applyAlignment="1">
      <alignment vertical="center" wrapText="1"/>
    </xf>
    <xf numFmtId="167" fontId="21" fillId="0" borderId="1" xfId="0" applyNumberFormat="1" applyFont="1" applyBorder="1" applyAlignment="1">
      <alignment vertical="center" wrapText="1"/>
    </xf>
    <xf numFmtId="0" fontId="21" fillId="0" borderId="7" xfId="0" applyFont="1" applyBorder="1" applyAlignment="1">
      <alignment vertical="center" wrapText="1"/>
    </xf>
    <xf numFmtId="167" fontId="21" fillId="0" borderId="7" xfId="0" applyNumberFormat="1" applyFont="1" applyBorder="1" applyAlignment="1">
      <alignment vertical="top" wrapText="1"/>
    </xf>
    <xf numFmtId="167" fontId="21" fillId="0" borderId="1" xfId="0" applyNumberFormat="1" applyFont="1" applyBorder="1" applyAlignment="1">
      <alignment vertical="top" wrapText="1"/>
    </xf>
    <xf numFmtId="0" fontId="21" fillId="0" borderId="1" xfId="0" applyFont="1" applyBorder="1" applyAlignment="1">
      <alignment vertical="top" wrapText="1"/>
    </xf>
    <xf numFmtId="0" fontId="21" fillId="0" borderId="7" xfId="0" applyFont="1" applyBorder="1" applyAlignment="1">
      <alignment horizontal="left" vertical="center" wrapText="1"/>
    </xf>
    <xf numFmtId="0" fontId="23" fillId="0" borderId="13" xfId="0" applyFont="1" applyBorder="1" applyAlignment="1">
      <alignment vertical="center" wrapText="1"/>
    </xf>
    <xf numFmtId="167" fontId="21" fillId="0" borderId="12" xfId="0" applyNumberFormat="1" applyFont="1" applyBorder="1" applyAlignment="1">
      <alignment vertical="center" wrapText="1"/>
    </xf>
    <xf numFmtId="0" fontId="21" fillId="0" borderId="12" xfId="0" applyFont="1" applyBorder="1" applyAlignment="1">
      <alignment vertical="center" wrapText="1"/>
    </xf>
    <xf numFmtId="0" fontId="25" fillId="0" borderId="1" xfId="0" applyFont="1" applyBorder="1" applyAlignment="1">
      <alignment horizontal="centerContinuous" vertical="center"/>
    </xf>
    <xf numFmtId="0" fontId="25" fillId="0" borderId="1" xfId="0" applyFont="1" applyBorder="1" applyAlignment="1">
      <alignment horizontal="centerContinuous" vertical="top"/>
    </xf>
    <xf numFmtId="0" fontId="25" fillId="0" borderId="1" xfId="0" applyFont="1" applyBorder="1" applyAlignment="1">
      <alignment horizontal="centerContinuous" vertical="top" wrapText="1"/>
    </xf>
    <xf numFmtId="166" fontId="25" fillId="0" borderId="1" xfId="0" applyNumberFormat="1" applyFont="1" applyBorder="1" applyAlignment="1">
      <alignment horizontal="right" vertical="top"/>
    </xf>
    <xf numFmtId="10" fontId="25" fillId="0" borderId="1" xfId="0" applyNumberFormat="1" applyFont="1" applyBorder="1" applyAlignment="1">
      <alignment horizontal="right" vertical="top"/>
    </xf>
    <xf numFmtId="0" fontId="21" fillId="0" borderId="1" xfId="0" applyFont="1" applyBorder="1" applyAlignment="1">
      <alignment vertical="top"/>
    </xf>
    <xf numFmtId="0" fontId="21" fillId="0" borderId="1" xfId="0" applyFont="1" applyBorder="1"/>
    <xf numFmtId="0" fontId="21" fillId="0" borderId="7" xfId="0" applyFont="1" applyBorder="1" applyAlignment="1">
      <alignment vertical="top"/>
    </xf>
    <xf numFmtId="0" fontId="22" fillId="2" borderId="8" xfId="0" applyFont="1" applyFill="1" applyBorder="1" applyAlignment="1">
      <alignment horizontal="center" vertical="center"/>
    </xf>
    <xf numFmtId="165" fontId="21" fillId="0" borderId="14" xfId="1" applyNumberFormat="1" applyFont="1" applyBorder="1" applyAlignment="1">
      <alignment vertical="center"/>
    </xf>
    <xf numFmtId="9" fontId="26" fillId="0" borderId="1" xfId="2" applyFont="1" applyBorder="1" applyAlignment="1">
      <alignment vertical="center"/>
    </xf>
    <xf numFmtId="167" fontId="21" fillId="0" borderId="7" xfId="0" applyNumberFormat="1" applyFont="1" applyBorder="1" applyAlignment="1">
      <alignment vertical="center" wrapText="1"/>
    </xf>
    <xf numFmtId="165" fontId="21" fillId="0" borderId="8" xfId="1" applyNumberFormat="1" applyFont="1" applyBorder="1" applyAlignment="1">
      <alignment vertical="center"/>
    </xf>
    <xf numFmtId="0" fontId="21" fillId="0" borderId="9" xfId="0" applyFont="1" applyBorder="1" applyAlignment="1">
      <alignment vertical="center" wrapText="1"/>
    </xf>
    <xf numFmtId="0" fontId="21" fillId="0" borderId="0" xfId="0" applyFont="1" applyAlignment="1">
      <alignment vertical="center"/>
    </xf>
    <xf numFmtId="9" fontId="26" fillId="0" borderId="10" xfId="2" applyFont="1" applyBorder="1" applyAlignment="1">
      <alignment vertical="center"/>
    </xf>
    <xf numFmtId="0" fontId="21" fillId="0" borderId="6" xfId="0" applyFont="1" applyBorder="1" applyAlignment="1">
      <alignment horizontal="center" vertical="center" wrapText="1"/>
    </xf>
    <xf numFmtId="0" fontId="21" fillId="0" borderId="16" xfId="0" applyFont="1" applyBorder="1" applyAlignment="1">
      <alignment vertical="top" wrapText="1"/>
    </xf>
    <xf numFmtId="0" fontId="21" fillId="0" borderId="4" xfId="0" applyFont="1" applyBorder="1" applyAlignment="1">
      <alignment horizontal="center" vertical="center" wrapText="1"/>
    </xf>
    <xf numFmtId="0" fontId="21" fillId="0" borderId="15" xfId="0" applyFont="1" applyBorder="1" applyAlignment="1">
      <alignment vertical="center" wrapText="1"/>
    </xf>
    <xf numFmtId="0" fontId="21" fillId="0" borderId="4" xfId="0" applyFont="1" applyBorder="1" applyAlignment="1">
      <alignment vertical="center" wrapText="1"/>
    </xf>
    <xf numFmtId="0" fontId="21" fillId="0" borderId="4" xfId="0" applyFont="1" applyBorder="1" applyAlignment="1">
      <alignment vertical="top" wrapText="1"/>
    </xf>
    <xf numFmtId="167" fontId="21" fillId="0" borderId="17" xfId="0" applyNumberFormat="1" applyFont="1" applyBorder="1" applyAlignment="1">
      <alignment vertical="center" wrapText="1"/>
    </xf>
    <xf numFmtId="0" fontId="21" fillId="0" borderId="17" xfId="0" applyFont="1" applyBorder="1" applyAlignment="1">
      <alignment vertical="center" wrapText="1"/>
    </xf>
    <xf numFmtId="0" fontId="24" fillId="0" borderId="1" xfId="0" applyFont="1" applyBorder="1" applyAlignment="1">
      <alignment vertical="center" wrapText="1"/>
    </xf>
    <xf numFmtId="0" fontId="21" fillId="0" borderId="5" xfId="0" applyFont="1" applyBorder="1" applyAlignment="1">
      <alignment vertical="center" wrapText="1"/>
    </xf>
    <xf numFmtId="0" fontId="27" fillId="0" borderId="1" xfId="0" applyFont="1" applyBorder="1" applyAlignment="1">
      <alignment vertical="center" wrapText="1"/>
    </xf>
    <xf numFmtId="0" fontId="21" fillId="0" borderId="6" xfId="0" applyFont="1" applyBorder="1" applyAlignment="1">
      <alignment vertical="center" wrapText="1"/>
    </xf>
    <xf numFmtId="0" fontId="21" fillId="0" borderId="1" xfId="0" applyFont="1" applyBorder="1" applyAlignment="1">
      <alignment horizontal="left" vertical="center" wrapText="1"/>
    </xf>
    <xf numFmtId="15" fontId="21" fillId="0" borderId="1" xfId="0" applyNumberFormat="1" applyFont="1" applyBorder="1" applyAlignment="1">
      <alignment horizontal="left" vertical="center" wrapText="1"/>
    </xf>
    <xf numFmtId="0" fontId="25" fillId="0" borderId="8" xfId="0" applyFont="1" applyBorder="1" applyAlignment="1">
      <alignment horizontal="center" vertical="top"/>
    </xf>
    <xf numFmtId="0" fontId="22" fillId="2" borderId="0" xfId="0" applyFont="1" applyFill="1" applyAlignment="1">
      <alignment horizontal="center" vertical="center" wrapText="1"/>
    </xf>
    <xf numFmtId="0" fontId="28" fillId="4" borderId="2" xfId="0" applyFont="1" applyFill="1" applyBorder="1" applyAlignment="1">
      <alignment horizontal="center" vertical="center" wrapText="1"/>
    </xf>
    <xf numFmtId="0" fontId="28" fillId="5" borderId="2" xfId="0" applyFont="1" applyFill="1" applyBorder="1" applyAlignment="1">
      <alignment horizontal="center" vertical="center" wrapText="1"/>
    </xf>
    <xf numFmtId="164" fontId="28" fillId="4" borderId="2" xfId="1" applyFont="1" applyFill="1" applyBorder="1" applyAlignment="1">
      <alignment horizontal="center" vertical="center" wrapText="1"/>
    </xf>
    <xf numFmtId="0" fontId="28" fillId="6" borderId="2" xfId="0" applyFont="1" applyFill="1" applyBorder="1" applyAlignment="1">
      <alignment horizontal="center" vertical="center" wrapText="1"/>
    </xf>
    <xf numFmtId="0" fontId="28" fillId="4" borderId="2" xfId="0" applyFont="1" applyFill="1" applyBorder="1" applyAlignment="1">
      <alignment horizontal="center" vertical="center"/>
    </xf>
    <xf numFmtId="0" fontId="28" fillId="5" borderId="3" xfId="0" applyFont="1" applyFill="1" applyBorder="1" applyAlignment="1">
      <alignment horizontal="center" vertical="center" wrapText="1"/>
    </xf>
    <xf numFmtId="0" fontId="28" fillId="5" borderId="2" xfId="0" applyFont="1" applyFill="1" applyBorder="1" applyAlignment="1">
      <alignment horizontal="center" vertical="center"/>
    </xf>
    <xf numFmtId="167" fontId="21" fillId="0" borderId="7" xfId="0" applyNumberFormat="1" applyFont="1" applyBorder="1" applyAlignment="1">
      <alignment vertical="top"/>
    </xf>
    <xf numFmtId="167" fontId="21" fillId="0" borderId="0" xfId="0" applyNumberFormat="1" applyFont="1" applyAlignment="1">
      <alignment vertical="top"/>
    </xf>
    <xf numFmtId="15" fontId="21" fillId="0" borderId="1" xfId="0" applyNumberFormat="1" applyFont="1" applyBorder="1" applyAlignment="1">
      <alignment vertical="center" wrapText="1"/>
    </xf>
    <xf numFmtId="15" fontId="21" fillId="0" borderId="1" xfId="0" applyNumberFormat="1" applyFont="1" applyBorder="1" applyAlignment="1">
      <alignment horizontal="left" vertical="top" wrapText="1"/>
    </xf>
    <xf numFmtId="165" fontId="21" fillId="0" borderId="1" xfId="1" applyNumberFormat="1" applyFont="1" applyFill="1" applyBorder="1" applyAlignment="1">
      <alignment vertical="center"/>
    </xf>
    <xf numFmtId="9" fontId="21" fillId="0" borderId="1" xfId="2" applyFont="1" applyFill="1" applyBorder="1" applyAlignment="1">
      <alignment vertical="center"/>
    </xf>
    <xf numFmtId="0" fontId="23" fillId="0" borderId="1" xfId="0" applyFont="1" applyBorder="1" applyAlignment="1">
      <alignment horizontal="left" vertical="center" wrapText="1"/>
    </xf>
    <xf numFmtId="0" fontId="23" fillId="0" borderId="1" xfId="0" quotePrefix="1" applyFont="1" applyBorder="1" applyAlignment="1">
      <alignment vertical="center" wrapText="1"/>
    </xf>
    <xf numFmtId="0" fontId="21" fillId="0" borderId="10" xfId="0" applyFont="1" applyBorder="1" applyAlignment="1">
      <alignment horizontal="left" vertical="center" wrapText="1"/>
    </xf>
    <xf numFmtId="167" fontId="21" fillId="3" borderId="7" xfId="0" applyNumberFormat="1" applyFont="1" applyFill="1" applyBorder="1" applyAlignment="1">
      <alignment vertical="top"/>
    </xf>
    <xf numFmtId="0" fontId="25" fillId="0" borderId="1" xfId="0" applyFont="1" applyBorder="1" applyAlignment="1">
      <alignment horizontal="centerContinuous" vertical="center" wrapText="1"/>
    </xf>
    <xf numFmtId="166" fontId="25" fillId="0" borderId="1" xfId="0" applyNumberFormat="1" applyFont="1" applyBorder="1" applyAlignment="1">
      <alignment horizontal="right" vertical="center"/>
    </xf>
    <xf numFmtId="10" fontId="25" fillId="0" borderId="1" xfId="0" applyNumberFormat="1" applyFont="1" applyBorder="1" applyAlignment="1">
      <alignment horizontal="right" vertical="center"/>
    </xf>
    <xf numFmtId="165" fontId="21" fillId="0" borderId="0" xfId="0" applyNumberFormat="1" applyFont="1"/>
    <xf numFmtId="164" fontId="21" fillId="0" borderId="1" xfId="1" applyFont="1" applyBorder="1" applyAlignment="1">
      <alignment vertical="center" wrapText="1"/>
    </xf>
    <xf numFmtId="0" fontId="5" fillId="0" borderId="1" xfId="0" applyFont="1" applyBorder="1" applyAlignment="1">
      <alignment horizontal="centerContinuous"/>
    </xf>
    <xf numFmtId="0" fontId="5" fillId="0" borderId="1" xfId="0" applyFont="1" applyBorder="1" applyAlignment="1">
      <alignment horizontal="centerContinuous" wrapText="1"/>
    </xf>
    <xf numFmtId="0" fontId="6" fillId="0" borderId="1" xfId="0" applyFont="1" applyBorder="1" applyAlignment="1">
      <alignment horizontal="centerContinuous"/>
    </xf>
    <xf numFmtId="165" fontId="6" fillId="0" borderId="1" xfId="1" applyNumberFormat="1" applyFont="1" applyBorder="1" applyAlignment="1">
      <alignment wrapText="1"/>
    </xf>
    <xf numFmtId="9" fontId="6" fillId="0" borderId="1" xfId="2" applyFont="1" applyBorder="1" applyAlignment="1">
      <alignment wrapText="1"/>
    </xf>
    <xf numFmtId="165" fontId="21" fillId="0" borderId="0" xfId="1" applyNumberFormat="1" applyFont="1"/>
    <xf numFmtId="10" fontId="21" fillId="0" borderId="0" xfId="2" applyNumberFormat="1" applyFont="1"/>
    <xf numFmtId="0" fontId="14" fillId="0" borderId="1" xfId="0" applyFont="1" applyBorder="1" applyAlignment="1">
      <alignment horizontal="center" vertical="center"/>
    </xf>
    <xf numFmtId="0" fontId="22" fillId="2" borderId="0" xfId="0" applyFont="1" applyFill="1" applyBorder="1" applyAlignment="1">
      <alignment horizontal="center" vertical="center" wrapText="1"/>
    </xf>
    <xf numFmtId="0" fontId="21" fillId="0" borderId="0" xfId="0" applyFont="1" applyBorder="1" applyAlignment="1">
      <alignment vertical="center" wrapText="1"/>
    </xf>
    <xf numFmtId="0" fontId="21" fillId="0" borderId="0" xfId="0" applyFont="1" applyBorder="1" applyAlignment="1">
      <alignment vertical="top" wrapText="1"/>
    </xf>
    <xf numFmtId="0" fontId="21" fillId="0" borderId="0" xfId="0" applyFont="1" applyBorder="1" applyAlignment="1">
      <alignment vertical="top"/>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301369/Downloads/260329%20Recovery%20Plan%20TOK%20April%202026%20R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301372/AppData/Local/Packages/5319275A.WhatsAppDesktop_cv1g1gvanyjgm/LocalState/sessions/2BFCD5E0E26062BC049D710CA460F0AFF4467217/transfers/2026-25/DATA_BASE_MK_GREENFIELD%20-%20(2606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is"/>
      <sheetName val="Tree "/>
      <sheetName val="Sheet1"/>
      <sheetName val="Sheet3"/>
      <sheetName val="Sheet2"/>
      <sheetName val="Data Material"/>
      <sheetName val="Tree (1)"/>
      <sheetName val="Denda"/>
      <sheetName val="Tree (for PMO 1)"/>
    </sheetNames>
    <sheetDataSet>
      <sheetData sheetId="0">
        <row r="4">
          <cell r="I4">
            <v>46113</v>
          </cell>
          <cell r="L4" t="str">
            <v>Program Berjalan</v>
          </cell>
          <cell r="N4" t="str">
            <v>TOK +90 Hari</v>
          </cell>
          <cell r="R4">
            <v>50277463541</v>
          </cell>
          <cell r="AU4" t="str">
            <v>Strategi 3</v>
          </cell>
        </row>
        <row r="5">
          <cell r="I5">
            <v>46113</v>
          </cell>
          <cell r="L5" t="str">
            <v>Program Berjalan</v>
          </cell>
          <cell r="N5" t="str">
            <v>TOK</v>
          </cell>
          <cell r="R5">
            <v>161684727812</v>
          </cell>
          <cell r="AU5" t="str">
            <v>Strategi 3</v>
          </cell>
        </row>
        <row r="6">
          <cell r="I6">
            <v>46113</v>
          </cell>
          <cell r="L6" t="str">
            <v>Program Berjalan</v>
          </cell>
          <cell r="N6" t="str">
            <v>TOK</v>
          </cell>
          <cell r="R6">
            <v>27152951022</v>
          </cell>
          <cell r="AU6" t="str">
            <v>Strategi 3</v>
          </cell>
        </row>
        <row r="7">
          <cell r="I7">
            <v>46113</v>
          </cell>
          <cell r="L7" t="str">
            <v>Program Berjalan</v>
          </cell>
          <cell r="N7" t="str">
            <v>TOK +90 Hari</v>
          </cell>
          <cell r="R7">
            <v>201942465303</v>
          </cell>
          <cell r="AU7" t="str">
            <v>Strategi 3</v>
          </cell>
        </row>
        <row r="8">
          <cell r="I8">
            <v>46113</v>
          </cell>
          <cell r="L8" t="str">
            <v>Program Berjalan</v>
          </cell>
          <cell r="N8" t="str">
            <v>TOK +90 Hari</v>
          </cell>
          <cell r="R8">
            <v>30274805397</v>
          </cell>
          <cell r="AU8" t="str">
            <v>Strategi 3</v>
          </cell>
        </row>
        <row r="9">
          <cell r="I9">
            <v>46113</v>
          </cell>
          <cell r="L9" t="str">
            <v>Program Berjalan</v>
          </cell>
          <cell r="N9" t="str">
            <v>TOK +90 Hari</v>
          </cell>
          <cell r="R9">
            <v>26619887845</v>
          </cell>
          <cell r="AU9" t="str">
            <v>Strategi 3</v>
          </cell>
        </row>
        <row r="10">
          <cell r="I10">
            <v>46113</v>
          </cell>
          <cell r="L10" t="str">
            <v>Program Berjalan</v>
          </cell>
          <cell r="N10" t="str">
            <v>TOK +90 Hari</v>
          </cell>
          <cell r="R10">
            <v>2211882788</v>
          </cell>
          <cell r="AU10" t="str">
            <v>Strategi 3</v>
          </cell>
        </row>
        <row r="11">
          <cell r="I11">
            <v>46113</v>
          </cell>
          <cell r="L11" t="str">
            <v>Program Berjalan</v>
          </cell>
          <cell r="N11" t="str">
            <v>TOK +90 Hari</v>
          </cell>
          <cell r="R11">
            <v>8907307436</v>
          </cell>
          <cell r="AU11" t="str">
            <v>Strategi 2</v>
          </cell>
        </row>
        <row r="12">
          <cell r="I12">
            <v>46113</v>
          </cell>
          <cell r="L12" t="str">
            <v>Program Berjalan</v>
          </cell>
          <cell r="N12" t="str">
            <v>TOK +90 Hari</v>
          </cell>
          <cell r="R12">
            <v>31637031965</v>
          </cell>
          <cell r="AU12" t="str">
            <v>Strategi 3</v>
          </cell>
        </row>
        <row r="13">
          <cell r="I13">
            <v>46113</v>
          </cell>
          <cell r="L13" t="str">
            <v>Program Berjalan</v>
          </cell>
          <cell r="N13" t="str">
            <v>TOK +90 Hari</v>
          </cell>
          <cell r="R13">
            <v>45174997846</v>
          </cell>
          <cell r="AU13" t="str">
            <v>Strategi 3</v>
          </cell>
        </row>
        <row r="14">
          <cell r="I14">
            <v>46113</v>
          </cell>
          <cell r="L14" t="str">
            <v>Program Berjalan</v>
          </cell>
          <cell r="N14" t="str">
            <v>TOK +90 Hari</v>
          </cell>
          <cell r="R14">
            <v>37542682765</v>
          </cell>
          <cell r="AU14" t="str">
            <v>Strategi 3</v>
          </cell>
        </row>
        <row r="15">
          <cell r="I15">
            <v>46113</v>
          </cell>
          <cell r="L15" t="str">
            <v>Program Berjalan</v>
          </cell>
          <cell r="N15" t="str">
            <v>TOK +90 Hari</v>
          </cell>
          <cell r="R15">
            <v>35732085802</v>
          </cell>
          <cell r="AU15" t="str">
            <v>Strategi 3</v>
          </cell>
        </row>
        <row r="16">
          <cell r="I16">
            <v>46113</v>
          </cell>
          <cell r="L16" t="str">
            <v>Program Berjalan</v>
          </cell>
          <cell r="N16" t="str">
            <v>TOK +90 Hari</v>
          </cell>
          <cell r="R16">
            <v>26163678274</v>
          </cell>
          <cell r="AU16" t="str">
            <v>Strategi 3</v>
          </cell>
        </row>
        <row r="17">
          <cell r="I17">
            <v>46113</v>
          </cell>
          <cell r="L17" t="str">
            <v>Program Berjalan</v>
          </cell>
          <cell r="N17" t="str">
            <v>TOK +90 Hari</v>
          </cell>
          <cell r="R17">
            <v>39965885717</v>
          </cell>
          <cell r="AU17" t="str">
            <v>Strategi 3</v>
          </cell>
        </row>
        <row r="18">
          <cell r="I18">
            <v>46113</v>
          </cell>
          <cell r="L18" t="str">
            <v>Program Berjalan</v>
          </cell>
          <cell r="N18" t="str">
            <v>TOK +90 Hari</v>
          </cell>
          <cell r="R18">
            <v>20859354660</v>
          </cell>
          <cell r="AU18" t="str">
            <v>Strategi 3</v>
          </cell>
        </row>
        <row r="19">
          <cell r="I19">
            <v>46113</v>
          </cell>
          <cell r="L19" t="str">
            <v>Program Berjalan</v>
          </cell>
          <cell r="N19" t="str">
            <v>TOK +90 Hari</v>
          </cell>
          <cell r="R19">
            <v>32722678567</v>
          </cell>
          <cell r="AU19" t="str">
            <v>Strategi 3</v>
          </cell>
        </row>
        <row r="20">
          <cell r="I20">
            <v>46113</v>
          </cell>
          <cell r="L20" t="str">
            <v>Program Berjalan</v>
          </cell>
          <cell r="N20" t="str">
            <v>TOK +90 Hari</v>
          </cell>
          <cell r="R20">
            <v>110907608174</v>
          </cell>
          <cell r="AU20" t="str">
            <v>Strategi 3</v>
          </cell>
        </row>
        <row r="21">
          <cell r="I21">
            <v>46113</v>
          </cell>
          <cell r="L21" t="str">
            <v>Program Berjalan</v>
          </cell>
          <cell r="N21" t="str">
            <v>TOK</v>
          </cell>
          <cell r="R21">
            <v>781549297</v>
          </cell>
          <cell r="AU21" t="str">
            <v>Strategi 2</v>
          </cell>
        </row>
        <row r="22">
          <cell r="I22">
            <v>46113</v>
          </cell>
          <cell r="L22" t="str">
            <v>Program Berjalan</v>
          </cell>
          <cell r="N22" t="str">
            <v>TOK</v>
          </cell>
          <cell r="R22">
            <v>815088047</v>
          </cell>
          <cell r="AU22" t="str">
            <v>Strategi 2</v>
          </cell>
        </row>
        <row r="23">
          <cell r="I23">
            <v>46113</v>
          </cell>
          <cell r="L23" t="str">
            <v>Program Berjalan</v>
          </cell>
          <cell r="N23" t="str">
            <v>TOK</v>
          </cell>
          <cell r="R23">
            <v>1639051966</v>
          </cell>
          <cell r="AU23" t="str">
            <v>Strategi 2</v>
          </cell>
        </row>
        <row r="24">
          <cell r="I24">
            <v>46113</v>
          </cell>
          <cell r="L24" t="str">
            <v>Program Berjalan</v>
          </cell>
          <cell r="N24" t="str">
            <v>TOK</v>
          </cell>
          <cell r="R24">
            <v>1118265561</v>
          </cell>
          <cell r="AU24" t="str">
            <v>Strategi 2</v>
          </cell>
        </row>
        <row r="25">
          <cell r="I25">
            <v>46113</v>
          </cell>
          <cell r="L25" t="str">
            <v>Program Berjalan</v>
          </cell>
          <cell r="N25" t="str">
            <v>TOK +90 Hari</v>
          </cell>
          <cell r="R25">
            <v>21199168948</v>
          </cell>
          <cell r="AU25" t="str">
            <v>Strategi 3</v>
          </cell>
        </row>
        <row r="26">
          <cell r="I26">
            <v>46113</v>
          </cell>
          <cell r="L26" t="str">
            <v>Program Berjalan</v>
          </cell>
          <cell r="N26" t="str">
            <v>TOK</v>
          </cell>
          <cell r="R26">
            <v>1208135926</v>
          </cell>
          <cell r="AU26" t="str">
            <v>Strategi 2</v>
          </cell>
        </row>
        <row r="27">
          <cell r="I27">
            <v>46113</v>
          </cell>
          <cell r="L27" t="str">
            <v>Program Berjalan</v>
          </cell>
          <cell r="N27" t="str">
            <v>TOK</v>
          </cell>
          <cell r="R27">
            <v>216427470</v>
          </cell>
          <cell r="AU27" t="str">
            <v>Strategi 2</v>
          </cell>
        </row>
        <row r="28">
          <cell r="I28">
            <v>46113</v>
          </cell>
          <cell r="L28" t="str">
            <v>Program Berjalan</v>
          </cell>
          <cell r="N28" t="str">
            <v>TOK</v>
          </cell>
          <cell r="R28">
            <v>5120326172</v>
          </cell>
          <cell r="AU28" t="str">
            <v>Strategi 2</v>
          </cell>
        </row>
        <row r="29">
          <cell r="I29">
            <v>46113</v>
          </cell>
          <cell r="L29" t="str">
            <v>Program Berjalan</v>
          </cell>
          <cell r="N29" t="str">
            <v>Dikeluarkan</v>
          </cell>
          <cell r="R29">
            <v>47547203012</v>
          </cell>
          <cell r="AU29" t="str">
            <v>Strategi 3</v>
          </cell>
        </row>
        <row r="30">
          <cell r="I30">
            <v>46113</v>
          </cell>
          <cell r="L30" t="str">
            <v>Program Berjalan</v>
          </cell>
          <cell r="N30" t="str">
            <v>Dikeluarkan</v>
          </cell>
          <cell r="R30">
            <v>17702853748</v>
          </cell>
          <cell r="AU30" t="str">
            <v>Strategi 3</v>
          </cell>
        </row>
        <row r="31">
          <cell r="I31">
            <v>46113</v>
          </cell>
          <cell r="L31" t="str">
            <v>Program Berjalan</v>
          </cell>
          <cell r="N31" t="str">
            <v>Dikeluarkan</v>
          </cell>
          <cell r="R31">
            <v>983838843</v>
          </cell>
          <cell r="AU31" t="str">
            <v>Strategi 3</v>
          </cell>
        </row>
        <row r="32">
          <cell r="I32">
            <v>46113</v>
          </cell>
          <cell r="L32" t="str">
            <v>Program Berjalan</v>
          </cell>
          <cell r="N32" t="str">
            <v>Dikeluarkan</v>
          </cell>
          <cell r="R32">
            <v>224679205</v>
          </cell>
          <cell r="AU32" t="str">
            <v>Strategi 3</v>
          </cell>
        </row>
        <row r="33">
          <cell r="I33">
            <v>46113</v>
          </cell>
          <cell r="L33" t="str">
            <v>Program Berjalan</v>
          </cell>
          <cell r="N33" t="str">
            <v>Dikeluarkan</v>
          </cell>
          <cell r="R33">
            <v>9781028172</v>
          </cell>
          <cell r="AU33" t="str">
            <v>Strategi 2</v>
          </cell>
        </row>
        <row r="34">
          <cell r="I34">
            <v>46113</v>
          </cell>
          <cell r="L34" t="str">
            <v>Program Berjalan</v>
          </cell>
          <cell r="N34" t="str">
            <v>Dikeluarkan</v>
          </cell>
          <cell r="R34">
            <v>17649963246</v>
          </cell>
          <cell r="AU34" t="str">
            <v>Strategi 3</v>
          </cell>
        </row>
        <row r="35">
          <cell r="I35">
            <v>46113</v>
          </cell>
          <cell r="L35" t="str">
            <v>Program Berjalan</v>
          </cell>
          <cell r="N35" t="str">
            <v>Dikeluarkan</v>
          </cell>
          <cell r="R35">
            <v>10125135685</v>
          </cell>
          <cell r="AU35" t="str">
            <v>Strategi 3</v>
          </cell>
        </row>
        <row r="36">
          <cell r="I36">
            <v>46113</v>
          </cell>
          <cell r="L36" t="str">
            <v>Program Berjalan</v>
          </cell>
          <cell r="N36" t="str">
            <v>Dikeluarkan</v>
          </cell>
          <cell r="R36">
            <v>22251292018</v>
          </cell>
          <cell r="AU36" t="str">
            <v>Strategi 3</v>
          </cell>
        </row>
        <row r="37">
          <cell r="I37">
            <v>46113</v>
          </cell>
          <cell r="L37" t="str">
            <v>Program Berjalan</v>
          </cell>
          <cell r="N37" t="str">
            <v>Dikeluarkan</v>
          </cell>
          <cell r="R37">
            <v>7463167245</v>
          </cell>
          <cell r="AU37" t="str">
            <v>Strategi 3</v>
          </cell>
        </row>
        <row r="38">
          <cell r="I38">
            <v>46113</v>
          </cell>
          <cell r="L38" t="str">
            <v>Cancel</v>
          </cell>
          <cell r="R38">
            <v>784083898</v>
          </cell>
        </row>
        <row r="39">
          <cell r="I39">
            <v>46113</v>
          </cell>
          <cell r="L39" t="str">
            <v>Program Berjalan</v>
          </cell>
          <cell r="N39" t="str">
            <v>TOK</v>
          </cell>
          <cell r="R39">
            <v>542982145</v>
          </cell>
          <cell r="AU39" t="str">
            <v>Strategi 3</v>
          </cell>
        </row>
        <row r="40">
          <cell r="I40">
            <v>46113</v>
          </cell>
          <cell r="L40" t="str">
            <v>Program Berjalan</v>
          </cell>
          <cell r="N40" t="str">
            <v>TOK</v>
          </cell>
          <cell r="R40">
            <v>16686085218</v>
          </cell>
          <cell r="AU40" t="str">
            <v>Strategi 2</v>
          </cell>
        </row>
        <row r="41">
          <cell r="I41">
            <v>46113</v>
          </cell>
          <cell r="L41" t="str">
            <v>Cancel</v>
          </cell>
          <cell r="R41">
            <v>271645744</v>
          </cell>
        </row>
        <row r="42">
          <cell r="I42">
            <v>46113</v>
          </cell>
          <cell r="L42" t="str">
            <v>Program Berjalan</v>
          </cell>
          <cell r="N42" t="str">
            <v>TOK</v>
          </cell>
          <cell r="R42">
            <v>314811380</v>
          </cell>
          <cell r="AU42" t="str">
            <v>Strategi 2</v>
          </cell>
        </row>
        <row r="43">
          <cell r="I43">
            <v>46113</v>
          </cell>
          <cell r="L43" t="str">
            <v>Program Berjalan</v>
          </cell>
          <cell r="N43" t="str">
            <v>TOK +90 Hari</v>
          </cell>
          <cell r="R43">
            <v>562633602</v>
          </cell>
          <cell r="AU43" t="str">
            <v>Strategi 3</v>
          </cell>
        </row>
        <row r="44">
          <cell r="I44">
            <v>46113</v>
          </cell>
          <cell r="L44" t="str">
            <v>Program Berjalan</v>
          </cell>
          <cell r="N44" t="str">
            <v>TOK +90 Hari</v>
          </cell>
          <cell r="R44">
            <v>2899780730</v>
          </cell>
          <cell r="AU44" t="str">
            <v>Strategi 3</v>
          </cell>
        </row>
        <row r="45">
          <cell r="I45">
            <v>46113</v>
          </cell>
          <cell r="L45" t="str">
            <v>Cancel</v>
          </cell>
          <cell r="R45">
            <v>235229615</v>
          </cell>
        </row>
        <row r="46">
          <cell r="I46">
            <v>46113</v>
          </cell>
          <cell r="L46" t="str">
            <v>Program Berjalan</v>
          </cell>
          <cell r="N46" t="str">
            <v>TOK +90 Hari</v>
          </cell>
          <cell r="R46">
            <v>216162043</v>
          </cell>
          <cell r="AU46" t="str">
            <v>Strategi 3</v>
          </cell>
        </row>
        <row r="47">
          <cell r="I47">
            <v>46113</v>
          </cell>
          <cell r="L47" t="str">
            <v>Program Berjalan</v>
          </cell>
          <cell r="N47" t="str">
            <v>TOK +90 Hari</v>
          </cell>
          <cell r="R47">
            <v>636530022</v>
          </cell>
          <cell r="AU47" t="str">
            <v>Strategi 3</v>
          </cell>
        </row>
        <row r="48">
          <cell r="I48">
            <v>46113</v>
          </cell>
          <cell r="L48" t="str">
            <v>Program Berjalan</v>
          </cell>
          <cell r="N48" t="str">
            <v>TOK</v>
          </cell>
          <cell r="R48">
            <v>817960225</v>
          </cell>
          <cell r="AU48" t="str">
            <v>Strategi 2</v>
          </cell>
        </row>
        <row r="49">
          <cell r="I49">
            <v>46113</v>
          </cell>
          <cell r="L49" t="str">
            <v>Cancel</v>
          </cell>
          <cell r="R49">
            <v>170357072</v>
          </cell>
        </row>
        <row r="50">
          <cell r="I50">
            <v>46113</v>
          </cell>
          <cell r="L50" t="str">
            <v>Program Berjalan</v>
          </cell>
          <cell r="N50" t="str">
            <v>TOK +90 Hari</v>
          </cell>
          <cell r="R50">
            <v>347707099</v>
          </cell>
          <cell r="AU50" t="str">
            <v>Strategi 3</v>
          </cell>
        </row>
        <row r="51">
          <cell r="I51">
            <v>46113</v>
          </cell>
          <cell r="L51" t="str">
            <v>Program Berjalan</v>
          </cell>
          <cell r="N51" t="str">
            <v>TOK +90 Hari</v>
          </cell>
          <cell r="R51">
            <v>190642074</v>
          </cell>
          <cell r="AU51" t="str">
            <v>Strategi 2</v>
          </cell>
        </row>
        <row r="52">
          <cell r="I52">
            <v>46113</v>
          </cell>
          <cell r="L52" t="str">
            <v>Program Berjalan</v>
          </cell>
          <cell r="N52" t="str">
            <v>TOK</v>
          </cell>
          <cell r="R52">
            <v>184312464</v>
          </cell>
          <cell r="AU52" t="str">
            <v>Strategi 2</v>
          </cell>
        </row>
        <row r="53">
          <cell r="I53">
            <v>46113</v>
          </cell>
          <cell r="L53" t="str">
            <v>Program Berjalan</v>
          </cell>
          <cell r="N53" t="str">
            <v>TOK</v>
          </cell>
          <cell r="R53">
            <v>190402526</v>
          </cell>
          <cell r="AU53" t="str">
            <v>Strategi 2</v>
          </cell>
        </row>
        <row r="54">
          <cell r="I54">
            <v>46113</v>
          </cell>
          <cell r="L54" t="str">
            <v>Program Berjalan</v>
          </cell>
          <cell r="N54" t="str">
            <v>TOK +90 Hari</v>
          </cell>
          <cell r="R54">
            <v>106576466</v>
          </cell>
          <cell r="AU54" t="str">
            <v>Strategi 3</v>
          </cell>
        </row>
        <row r="55">
          <cell r="I55">
            <v>46113</v>
          </cell>
          <cell r="L55" t="str">
            <v>Program Berjalan</v>
          </cell>
          <cell r="N55" t="str">
            <v>TOK</v>
          </cell>
          <cell r="R55">
            <v>1054494928</v>
          </cell>
          <cell r="AU55" t="str">
            <v>Strategi 2</v>
          </cell>
        </row>
        <row r="56">
          <cell r="I56">
            <v>46113</v>
          </cell>
          <cell r="L56" t="str">
            <v>Program Berjalan</v>
          </cell>
          <cell r="N56" t="str">
            <v>TOK +90 Hari</v>
          </cell>
          <cell r="R56">
            <v>1117663079</v>
          </cell>
          <cell r="AU56" t="str">
            <v>Strategi 3</v>
          </cell>
        </row>
        <row r="57">
          <cell r="I57">
            <v>46113</v>
          </cell>
          <cell r="L57" t="str">
            <v>Program Berjalan</v>
          </cell>
          <cell r="N57" t="str">
            <v>TOK +90 Hari</v>
          </cell>
          <cell r="R57">
            <v>2140671314</v>
          </cell>
          <cell r="AU57" t="str">
            <v>Strategi 3</v>
          </cell>
        </row>
        <row r="58">
          <cell r="I58">
            <v>46113</v>
          </cell>
          <cell r="L58" t="str">
            <v>Cancel</v>
          </cell>
          <cell r="R58">
            <v>8175476578</v>
          </cell>
        </row>
        <row r="59">
          <cell r="I59">
            <v>46113</v>
          </cell>
          <cell r="L59" t="str">
            <v>Program Berjalan</v>
          </cell>
          <cell r="N59" t="str">
            <v>TOK +90 Hari</v>
          </cell>
          <cell r="R59">
            <v>6653875358</v>
          </cell>
          <cell r="AU59" t="str">
            <v>Strategi 2</v>
          </cell>
        </row>
        <row r="60">
          <cell r="I60">
            <v>46113</v>
          </cell>
          <cell r="L60" t="str">
            <v>Program Berjalan</v>
          </cell>
          <cell r="N60" t="str">
            <v>TOK</v>
          </cell>
          <cell r="R60">
            <v>839525811</v>
          </cell>
          <cell r="AU60" t="str">
            <v>Strategi 2</v>
          </cell>
        </row>
        <row r="61">
          <cell r="I61">
            <v>46113</v>
          </cell>
          <cell r="L61" t="str">
            <v>Cancel</v>
          </cell>
          <cell r="R61">
            <v>94715691</v>
          </cell>
        </row>
        <row r="62">
          <cell r="I62">
            <v>46113</v>
          </cell>
          <cell r="L62" t="str">
            <v>Program Berjalan</v>
          </cell>
          <cell r="N62" t="str">
            <v>TOK +90 Hari</v>
          </cell>
          <cell r="R62">
            <v>263884511</v>
          </cell>
          <cell r="AU62" t="str">
            <v>Strategi 3</v>
          </cell>
        </row>
        <row r="63">
          <cell r="I63">
            <v>46113</v>
          </cell>
          <cell r="L63" t="str">
            <v>Cancel</v>
          </cell>
          <cell r="R63">
            <v>584398078</v>
          </cell>
        </row>
        <row r="64">
          <cell r="I64">
            <v>46113</v>
          </cell>
          <cell r="L64" t="str">
            <v>Program Berjalan</v>
          </cell>
          <cell r="N64" t="str">
            <v>TOK</v>
          </cell>
          <cell r="R64">
            <v>164269165</v>
          </cell>
          <cell r="AU64" t="str">
            <v>Strategi 2</v>
          </cell>
        </row>
        <row r="65">
          <cell r="I65">
            <v>46113</v>
          </cell>
          <cell r="L65" t="str">
            <v>Program Berjalan</v>
          </cell>
          <cell r="N65" t="str">
            <v>TOK</v>
          </cell>
          <cell r="R65">
            <v>72202637</v>
          </cell>
          <cell r="AU65" t="str">
            <v>Strategi 2</v>
          </cell>
        </row>
        <row r="66">
          <cell r="I66">
            <v>46113</v>
          </cell>
          <cell r="L66" t="str">
            <v>Program Berjalan</v>
          </cell>
          <cell r="N66" t="str">
            <v>TOK</v>
          </cell>
          <cell r="R66">
            <v>437623061</v>
          </cell>
          <cell r="AU66" t="str">
            <v>Strategi 2</v>
          </cell>
        </row>
        <row r="67">
          <cell r="I67">
            <v>46113</v>
          </cell>
          <cell r="L67" t="str">
            <v>Cancel</v>
          </cell>
          <cell r="R67">
            <v>666195366</v>
          </cell>
        </row>
        <row r="68">
          <cell r="I68">
            <v>46113</v>
          </cell>
          <cell r="L68" t="str">
            <v>Cancel</v>
          </cell>
          <cell r="R68">
            <v>169308555</v>
          </cell>
        </row>
        <row r="69">
          <cell r="I69">
            <v>46113</v>
          </cell>
          <cell r="L69" t="str">
            <v>Program Berjalan</v>
          </cell>
          <cell r="N69" t="str">
            <v>TOK</v>
          </cell>
          <cell r="R69">
            <v>164199941</v>
          </cell>
          <cell r="AU69" t="str">
            <v>Strategi 2</v>
          </cell>
        </row>
        <row r="70">
          <cell r="I70">
            <v>46113</v>
          </cell>
          <cell r="L70" t="str">
            <v>Program Berjalan</v>
          </cell>
          <cell r="N70" t="str">
            <v>TOK</v>
          </cell>
          <cell r="R70">
            <v>378764012</v>
          </cell>
          <cell r="AU70" t="str">
            <v>Strategi 2</v>
          </cell>
        </row>
        <row r="71">
          <cell r="I71">
            <v>46113</v>
          </cell>
          <cell r="L71" t="str">
            <v>Cancel</v>
          </cell>
          <cell r="R71">
            <v>350767311</v>
          </cell>
        </row>
        <row r="72">
          <cell r="I72">
            <v>46113</v>
          </cell>
          <cell r="L72" t="str">
            <v>Program Berjalan</v>
          </cell>
          <cell r="N72" t="str">
            <v>TOK</v>
          </cell>
          <cell r="R72">
            <v>821435276</v>
          </cell>
          <cell r="AU72" t="str">
            <v>Strategi 2</v>
          </cell>
        </row>
        <row r="73">
          <cell r="I73">
            <v>46113</v>
          </cell>
          <cell r="L73" t="str">
            <v>Program Berjalan</v>
          </cell>
          <cell r="N73" t="str">
            <v>TOK</v>
          </cell>
          <cell r="R73">
            <v>185447130</v>
          </cell>
          <cell r="AU73" t="str">
            <v>Strategi 2</v>
          </cell>
        </row>
        <row r="74">
          <cell r="I74">
            <v>46113</v>
          </cell>
          <cell r="L74" t="str">
            <v>Cancel</v>
          </cell>
          <cell r="R74">
            <v>494486767</v>
          </cell>
        </row>
        <row r="75">
          <cell r="I75">
            <v>46113</v>
          </cell>
          <cell r="L75" t="str">
            <v>Program Berjalan</v>
          </cell>
          <cell r="N75" t="str">
            <v>TOK +90 Hari</v>
          </cell>
          <cell r="R75">
            <v>436559818</v>
          </cell>
          <cell r="AU75" t="str">
            <v>Strategi 3</v>
          </cell>
        </row>
        <row r="76">
          <cell r="I76">
            <v>46113</v>
          </cell>
          <cell r="L76" t="str">
            <v>Program Berjalan</v>
          </cell>
          <cell r="N76" t="str">
            <v>TOK</v>
          </cell>
          <cell r="R76">
            <v>2860910583</v>
          </cell>
          <cell r="AU76" t="str">
            <v>Strategi 2</v>
          </cell>
        </row>
        <row r="77">
          <cell r="I77">
            <v>46113</v>
          </cell>
          <cell r="L77" t="str">
            <v>Program Berjalan</v>
          </cell>
          <cell r="N77" t="str">
            <v>TOK</v>
          </cell>
          <cell r="R77">
            <v>141544432</v>
          </cell>
          <cell r="AU77" t="str">
            <v>Strategi 2</v>
          </cell>
        </row>
        <row r="78">
          <cell r="I78">
            <v>46113</v>
          </cell>
          <cell r="L78" t="str">
            <v>Program Berjalan</v>
          </cell>
          <cell r="N78" t="str">
            <v>TOK</v>
          </cell>
          <cell r="R78">
            <v>162803600</v>
          </cell>
          <cell r="AU78" t="str">
            <v>Strategi 2</v>
          </cell>
        </row>
        <row r="79">
          <cell r="I79">
            <v>46113</v>
          </cell>
          <cell r="L79" t="str">
            <v>Program Berjalan</v>
          </cell>
          <cell r="N79" t="str">
            <v>TOK</v>
          </cell>
          <cell r="R79">
            <v>140641205</v>
          </cell>
          <cell r="AU79" t="str">
            <v>Strategi 2</v>
          </cell>
        </row>
        <row r="80">
          <cell r="I80">
            <v>46113</v>
          </cell>
          <cell r="L80" t="str">
            <v>Program Berjalan</v>
          </cell>
          <cell r="N80" t="str">
            <v>TOK</v>
          </cell>
          <cell r="R80">
            <v>430999438</v>
          </cell>
          <cell r="AU80" t="str">
            <v>Strategi 2</v>
          </cell>
        </row>
        <row r="81">
          <cell r="I81">
            <v>46113</v>
          </cell>
          <cell r="L81" t="str">
            <v>Cancel</v>
          </cell>
          <cell r="R81">
            <v>122770834</v>
          </cell>
        </row>
        <row r="82">
          <cell r="I82">
            <v>46113</v>
          </cell>
          <cell r="L82" t="str">
            <v>Cancel</v>
          </cell>
          <cell r="R82">
            <v>121146186</v>
          </cell>
        </row>
        <row r="83">
          <cell r="I83">
            <v>46113</v>
          </cell>
          <cell r="L83" t="str">
            <v>Cancel</v>
          </cell>
          <cell r="R83">
            <v>116864008</v>
          </cell>
        </row>
        <row r="84">
          <cell r="I84">
            <v>46113</v>
          </cell>
          <cell r="L84" t="str">
            <v>Program Berjalan</v>
          </cell>
          <cell r="N84" t="str">
            <v>TOK +90 Hari</v>
          </cell>
          <cell r="R84">
            <v>422044898</v>
          </cell>
          <cell r="AU84" t="str">
            <v>Strategi 3</v>
          </cell>
        </row>
        <row r="85">
          <cell r="I85">
            <v>46113</v>
          </cell>
          <cell r="L85" t="str">
            <v>Program Berjalan</v>
          </cell>
          <cell r="N85" t="str">
            <v>TOK</v>
          </cell>
          <cell r="R85">
            <v>2772012955</v>
          </cell>
          <cell r="AU85" t="str">
            <v>Strategi 2</v>
          </cell>
        </row>
        <row r="86">
          <cell r="I86">
            <v>46113</v>
          </cell>
          <cell r="L86" t="str">
            <v>Cancel</v>
          </cell>
          <cell r="R86">
            <v>183891050</v>
          </cell>
        </row>
        <row r="87">
          <cell r="I87">
            <v>46113</v>
          </cell>
          <cell r="L87" t="str">
            <v>Cancel</v>
          </cell>
          <cell r="R87">
            <v>270314452</v>
          </cell>
          <cell r="AU87" t="str">
            <v>Strategi 3</v>
          </cell>
        </row>
        <row r="88">
          <cell r="I88">
            <v>46113</v>
          </cell>
          <cell r="L88" t="str">
            <v>Program Berjalan</v>
          </cell>
          <cell r="N88" t="str">
            <v>TOK +90 Hari</v>
          </cell>
          <cell r="R88">
            <v>574183224</v>
          </cell>
          <cell r="AU88" t="str">
            <v>Strategi 2</v>
          </cell>
        </row>
        <row r="89">
          <cell r="I89">
            <v>46113</v>
          </cell>
          <cell r="L89" t="str">
            <v>Cancel</v>
          </cell>
          <cell r="R89">
            <v>214319720</v>
          </cell>
        </row>
        <row r="90">
          <cell r="I90">
            <v>46113</v>
          </cell>
          <cell r="L90" t="str">
            <v>Program Berjalan</v>
          </cell>
          <cell r="N90" t="str">
            <v>TOK +90 Hari</v>
          </cell>
          <cell r="R90">
            <v>451317929</v>
          </cell>
          <cell r="AU90" t="str">
            <v>Strategi 3</v>
          </cell>
        </row>
        <row r="91">
          <cell r="I91">
            <v>46113</v>
          </cell>
          <cell r="L91" t="str">
            <v>Program Berjalan</v>
          </cell>
          <cell r="N91" t="str">
            <v>TOK +90 Hari</v>
          </cell>
          <cell r="R91">
            <v>20589661159</v>
          </cell>
          <cell r="AU91" t="str">
            <v>Strategi 3</v>
          </cell>
        </row>
        <row r="92">
          <cell r="I92">
            <v>46113</v>
          </cell>
          <cell r="L92" t="str">
            <v>Program Berjalan</v>
          </cell>
          <cell r="N92" t="str">
            <v>TOK +90 Hari</v>
          </cell>
          <cell r="R92">
            <v>90555389652</v>
          </cell>
          <cell r="AU92" t="str">
            <v>Strategi 3</v>
          </cell>
        </row>
        <row r="93">
          <cell r="I93">
            <v>46113</v>
          </cell>
          <cell r="L93" t="str">
            <v>Program Berjalan</v>
          </cell>
          <cell r="N93" t="str">
            <v>TOK</v>
          </cell>
          <cell r="R93">
            <v>505488651</v>
          </cell>
          <cell r="AU93" t="str">
            <v>Strategi 2</v>
          </cell>
        </row>
        <row r="94">
          <cell r="I94">
            <v>46113</v>
          </cell>
          <cell r="L94" t="str">
            <v>Cancel</v>
          </cell>
          <cell r="R94">
            <v>12075777390</v>
          </cell>
        </row>
        <row r="95">
          <cell r="I95">
            <v>46113</v>
          </cell>
          <cell r="L95" t="str">
            <v>Program Berjalan</v>
          </cell>
          <cell r="N95" t="str">
            <v>TOK +90 Hari</v>
          </cell>
          <cell r="R95">
            <v>18074312563</v>
          </cell>
          <cell r="AU95" t="str">
            <v>Strategi 3</v>
          </cell>
        </row>
        <row r="96">
          <cell r="I96">
            <v>46113</v>
          </cell>
          <cell r="L96" t="str">
            <v>Program Berjalan</v>
          </cell>
          <cell r="N96" t="str">
            <v>TOK +90 Hari</v>
          </cell>
          <cell r="R96">
            <v>2502693494</v>
          </cell>
          <cell r="AU96" t="str">
            <v>Strategi 3</v>
          </cell>
        </row>
        <row r="97">
          <cell r="I97">
            <v>46113</v>
          </cell>
          <cell r="L97" t="str">
            <v>Program Berjalan</v>
          </cell>
          <cell r="N97" t="str">
            <v>TOK +90 Hari</v>
          </cell>
          <cell r="R97">
            <v>494384995</v>
          </cell>
          <cell r="AU97" t="str">
            <v>Strategi 3</v>
          </cell>
        </row>
        <row r="98">
          <cell r="I98">
            <v>46113</v>
          </cell>
          <cell r="L98" t="str">
            <v>Program Berjalan</v>
          </cell>
          <cell r="N98" t="str">
            <v>TOK</v>
          </cell>
          <cell r="R98">
            <v>491752264</v>
          </cell>
          <cell r="AU98" t="str">
            <v>Strategi 2</v>
          </cell>
        </row>
        <row r="99">
          <cell r="I99">
            <v>46113</v>
          </cell>
          <cell r="L99" t="str">
            <v>Cancel</v>
          </cell>
          <cell r="R99">
            <v>213781927</v>
          </cell>
        </row>
        <row r="100">
          <cell r="I100">
            <v>46113</v>
          </cell>
          <cell r="L100" t="str">
            <v>Cancel</v>
          </cell>
          <cell r="R100">
            <v>279758479</v>
          </cell>
          <cell r="AU100" t="str">
            <v>Strategi 3</v>
          </cell>
        </row>
        <row r="101">
          <cell r="I101">
            <v>46113</v>
          </cell>
          <cell r="L101" t="str">
            <v>Program Berjalan</v>
          </cell>
          <cell r="N101" t="str">
            <v>TOK +90 Hari</v>
          </cell>
          <cell r="R101">
            <v>235332171</v>
          </cell>
          <cell r="AU101" t="str">
            <v>Strategi 2</v>
          </cell>
        </row>
        <row r="102">
          <cell r="I102">
            <v>46113</v>
          </cell>
          <cell r="L102" t="str">
            <v>Program Berjalan</v>
          </cell>
          <cell r="N102" t="str">
            <v>TOK</v>
          </cell>
          <cell r="R102">
            <v>119843593</v>
          </cell>
          <cell r="AU102" t="str">
            <v>Strategi 2</v>
          </cell>
        </row>
        <row r="103">
          <cell r="I103">
            <v>46113</v>
          </cell>
          <cell r="L103" t="str">
            <v>Program Berjalan</v>
          </cell>
          <cell r="N103" t="str">
            <v>TOK +90 Hari</v>
          </cell>
          <cell r="R103">
            <v>1960724806</v>
          </cell>
          <cell r="AU103" t="str">
            <v>Strategi 3</v>
          </cell>
        </row>
        <row r="104">
          <cell r="I104">
            <v>46113</v>
          </cell>
          <cell r="L104" t="str">
            <v>Program Berjalan</v>
          </cell>
          <cell r="N104" t="str">
            <v>TOK +90 Hari</v>
          </cell>
          <cell r="R104">
            <v>104448245</v>
          </cell>
          <cell r="AU104" t="str">
            <v>Strategi 3</v>
          </cell>
        </row>
        <row r="105">
          <cell r="I105">
            <v>46113</v>
          </cell>
          <cell r="L105" t="str">
            <v>Program Berjalan</v>
          </cell>
          <cell r="N105" t="str">
            <v>TOK</v>
          </cell>
          <cell r="R105">
            <v>4182131005</v>
          </cell>
          <cell r="AU105" t="str">
            <v>Strategi 2</v>
          </cell>
        </row>
        <row r="106">
          <cell r="I106">
            <v>46113</v>
          </cell>
          <cell r="L106" t="str">
            <v>Program Berjalan</v>
          </cell>
          <cell r="N106" t="str">
            <v>TOK</v>
          </cell>
          <cell r="R106">
            <v>1011832705</v>
          </cell>
          <cell r="AU106" t="str">
            <v>Strategi 2</v>
          </cell>
        </row>
        <row r="107">
          <cell r="I107">
            <v>46113</v>
          </cell>
          <cell r="L107" t="str">
            <v>Program Berjalan</v>
          </cell>
          <cell r="N107" t="str">
            <v>TOK +90 Hari</v>
          </cell>
          <cell r="R107">
            <v>216965733</v>
          </cell>
          <cell r="AU107" t="str">
            <v>Strategi 3</v>
          </cell>
        </row>
        <row r="108">
          <cell r="I108">
            <v>46113</v>
          </cell>
          <cell r="L108" t="str">
            <v>Program Berjalan</v>
          </cell>
          <cell r="N108" t="str">
            <v>TOK</v>
          </cell>
          <cell r="R108">
            <v>996536617</v>
          </cell>
          <cell r="AU108" t="str">
            <v>Strategi 2</v>
          </cell>
        </row>
        <row r="109">
          <cell r="I109">
            <v>46113</v>
          </cell>
          <cell r="L109" t="str">
            <v>Program Berjalan</v>
          </cell>
          <cell r="N109" t="str">
            <v>TOK</v>
          </cell>
          <cell r="R109">
            <v>433691056</v>
          </cell>
          <cell r="AU109" t="str">
            <v>Strategi 2</v>
          </cell>
        </row>
        <row r="110">
          <cell r="I110">
            <v>46113</v>
          </cell>
          <cell r="L110" t="str">
            <v>Program Berjalan</v>
          </cell>
          <cell r="N110" t="str">
            <v>TOK</v>
          </cell>
          <cell r="R110">
            <v>76222944</v>
          </cell>
          <cell r="AU110" t="str">
            <v>Strategi 2</v>
          </cell>
        </row>
        <row r="111">
          <cell r="I111">
            <v>46113</v>
          </cell>
          <cell r="L111" t="str">
            <v>Program Berjalan</v>
          </cell>
          <cell r="N111" t="str">
            <v>TOK</v>
          </cell>
          <cell r="R111">
            <v>457998021</v>
          </cell>
          <cell r="AU111" t="str">
            <v>Strategi 2</v>
          </cell>
        </row>
      </sheetData>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MK"/>
      <sheetName val="Review"/>
      <sheetName val="Summary PR PO GR"/>
      <sheetName val="Exsum Apr 26"/>
      <sheetName val="Monitoring BIM April 2026"/>
      <sheetName val="Tree Apr 26"/>
      <sheetName val="Tree Okt 26"/>
    </sheetNames>
    <sheetDataSet>
      <sheetData sheetId="0">
        <row r="345">
          <cell r="E345" t="str">
            <v>NPP23JTA B02</v>
          </cell>
          <cell r="W345">
            <v>0</v>
          </cell>
        </row>
        <row r="346">
          <cell r="E346" t="str">
            <v>24ABJ.PNAJT151JR1</v>
          </cell>
          <cell r="W346">
            <v>0</v>
          </cell>
        </row>
        <row r="347">
          <cell r="E347" t="str">
            <v>24ABJ.NBVJTA03</v>
          </cell>
          <cell r="W347">
            <v>0</v>
          </cell>
        </row>
        <row r="348">
          <cell r="E348" t="str">
            <v>24ABJ.NBVJTA04</v>
          </cell>
          <cell r="W348">
            <v>0</v>
          </cell>
        </row>
        <row r="349">
          <cell r="E349" t="str">
            <v>24ABJ.NBVJTA05</v>
          </cell>
          <cell r="W349">
            <v>0</v>
          </cell>
        </row>
        <row r="350">
          <cell r="E350" t="str">
            <v>24ABJ.NBVJTA06</v>
          </cell>
          <cell r="W350">
            <v>0</v>
          </cell>
        </row>
        <row r="351">
          <cell r="E351" t="str">
            <v>24ABJ.NBVJTA11</v>
          </cell>
          <cell r="W351">
            <v>0</v>
          </cell>
        </row>
        <row r="352">
          <cell r="E352" t="str">
            <v>24ABJ.NINJT051</v>
          </cell>
          <cell r="W352">
            <v>0</v>
          </cell>
        </row>
        <row r="353">
          <cell r="E353" t="str">
            <v>24ABJ.NINJT054</v>
          </cell>
          <cell r="W353">
            <v>0</v>
          </cell>
        </row>
        <row r="354">
          <cell r="E354" t="str">
            <v>24ABJ.NINJT069</v>
          </cell>
          <cell r="W354">
            <v>0</v>
          </cell>
        </row>
        <row r="355">
          <cell r="E355" t="str">
            <v>24ABJ.NINJT070</v>
          </cell>
          <cell r="W355">
            <v>0</v>
          </cell>
        </row>
        <row r="356">
          <cell r="E356" t="str">
            <v>24ABJ.NINJT070.1</v>
          </cell>
          <cell r="W356">
            <v>0</v>
          </cell>
        </row>
        <row r="357">
          <cell r="E357" t="str">
            <v>24ABJ.NPPJT70JR.1</v>
          </cell>
          <cell r="W357">
            <v>0</v>
          </cell>
        </row>
        <row r="358">
          <cell r="E358" t="str">
            <v>24ABJ.NPPJT70JR4</v>
          </cell>
          <cell r="W358">
            <v>0</v>
          </cell>
        </row>
        <row r="359">
          <cell r="E359" t="str">
            <v>24ABJ.NPPJT70JR6</v>
          </cell>
          <cell r="W359">
            <v>0</v>
          </cell>
        </row>
        <row r="360">
          <cell r="E360" t="str">
            <v>24ABJ.NINJT073</v>
          </cell>
          <cell r="W360">
            <v>0</v>
          </cell>
        </row>
        <row r="361">
          <cell r="E361" t="str">
            <v>24ABJ.NINJT074</v>
          </cell>
          <cell r="W361">
            <v>0</v>
          </cell>
        </row>
        <row r="362">
          <cell r="E362" t="str">
            <v>24ABJ.NINJT075</v>
          </cell>
          <cell r="W362">
            <v>0</v>
          </cell>
        </row>
        <row r="363">
          <cell r="E363" t="str">
            <v>24ABJ.NINJT077</v>
          </cell>
          <cell r="W363">
            <v>0</v>
          </cell>
        </row>
        <row r="364">
          <cell r="E364" t="str">
            <v>24ABJ.NINJT146</v>
          </cell>
          <cell r="W364">
            <v>0</v>
          </cell>
        </row>
        <row r="365">
          <cell r="E365" t="str">
            <v>24ABJ.NINJT148</v>
          </cell>
          <cell r="W365">
            <v>0</v>
          </cell>
        </row>
        <row r="366">
          <cell r="E366" t="str">
            <v>24ABJ.NINJT149</v>
          </cell>
          <cell r="W366">
            <v>0</v>
          </cell>
        </row>
        <row r="367">
          <cell r="E367" t="str">
            <v>24ABJ.NINJTS011</v>
          </cell>
          <cell r="W367">
            <v>0</v>
          </cell>
        </row>
        <row r="368">
          <cell r="E368" t="str">
            <v>24ABJ.NINJTS012</v>
          </cell>
          <cell r="W368">
            <v>0</v>
          </cell>
        </row>
        <row r="369">
          <cell r="E369" t="str">
            <v>25ABJ.NINJT081.1JR</v>
          </cell>
          <cell r="W369">
            <v>0</v>
          </cell>
        </row>
        <row r="370">
          <cell r="E370" t="str">
            <v>25ABJ.NINJTP006.1JR</v>
          </cell>
          <cell r="W370">
            <v>0</v>
          </cell>
        </row>
        <row r="371">
          <cell r="E371" t="str">
            <v>24ABJ.NINJTP008.12JR</v>
          </cell>
          <cell r="W371">
            <v>0</v>
          </cell>
        </row>
        <row r="372">
          <cell r="E372" t="str">
            <v>24ABJ.NINJTS010.1JR</v>
          </cell>
          <cell r="W372">
            <v>0</v>
          </cell>
        </row>
        <row r="373">
          <cell r="E373" t="str">
            <v>25ABJ.NINJT078.2JR</v>
          </cell>
          <cell r="W373">
            <v>0</v>
          </cell>
        </row>
        <row r="374">
          <cell r="E374" t="str">
            <v>25ABJ.NINJT078.3JR</v>
          </cell>
          <cell r="W374">
            <v>0</v>
          </cell>
        </row>
        <row r="375">
          <cell r="E375" t="str">
            <v>25ABJ.NINJT078.5JR</v>
          </cell>
          <cell r="W375">
            <v>0</v>
          </cell>
        </row>
        <row r="376">
          <cell r="E376" t="str">
            <v>24ABJ.NINJT082.1JR</v>
          </cell>
          <cell r="W376">
            <v>0</v>
          </cell>
        </row>
        <row r="377">
          <cell r="E377" t="str">
            <v>24ABJ.NINJTP003.2JR</v>
          </cell>
          <cell r="W377">
            <v>0</v>
          </cell>
        </row>
        <row r="378">
          <cell r="E378" t="str">
            <v>24ABJ.NINJTP008.3JR</v>
          </cell>
          <cell r="W378">
            <v>0</v>
          </cell>
        </row>
        <row r="379">
          <cell r="E379" t="str">
            <v>24ABJ.NINJTP008.5JR</v>
          </cell>
          <cell r="W379">
            <v>0</v>
          </cell>
        </row>
        <row r="380">
          <cell r="E380" t="str">
            <v>25ABJ.NINJTS008.1JR</v>
          </cell>
          <cell r="W380">
            <v>0</v>
          </cell>
        </row>
        <row r="381">
          <cell r="E381" t="str">
            <v>25ABJ.NINJTS010.3JR</v>
          </cell>
          <cell r="W381">
            <v>0</v>
          </cell>
        </row>
        <row r="382">
          <cell r="E382" t="str">
            <v>25ABJ.NINJTS013.1JR</v>
          </cell>
          <cell r="W382">
            <v>0</v>
          </cell>
        </row>
        <row r="383">
          <cell r="E383" t="str">
            <v>25ABJ.NINJT060.1JR</v>
          </cell>
          <cell r="W383">
            <v>0</v>
          </cell>
        </row>
        <row r="384">
          <cell r="E384" t="str">
            <v>25ABJ.NINJTS001.3JR</v>
          </cell>
          <cell r="W384">
            <v>0</v>
          </cell>
        </row>
        <row r="385">
          <cell r="E385" t="str">
            <v>25ABJ.NINJTP002.4JR</v>
          </cell>
          <cell r="W385">
            <v>40</v>
          </cell>
        </row>
        <row r="386">
          <cell r="E386" t="str">
            <v>25ABJ.NINJTP008.4JR</v>
          </cell>
          <cell r="W386">
            <v>0</v>
          </cell>
        </row>
        <row r="387">
          <cell r="E387" t="str">
            <v>25ABJ.NINJTS001.2JR</v>
          </cell>
          <cell r="W387">
            <v>0</v>
          </cell>
        </row>
        <row r="388">
          <cell r="E388" t="str">
            <v>25ABJ.NINJTP004.2JR</v>
          </cell>
          <cell r="W388">
            <v>0</v>
          </cell>
        </row>
        <row r="389">
          <cell r="E389" t="str">
            <v>24ABJ.NINJTP008.8JR.1</v>
          </cell>
          <cell r="W389">
            <v>878</v>
          </cell>
        </row>
        <row r="390">
          <cell r="E390" t="str">
            <v>25ABJ.NINJTS009.1JR</v>
          </cell>
          <cell r="W390">
            <v>125.7</v>
          </cell>
        </row>
        <row r="391">
          <cell r="E391" t="str">
            <v>24ABJ.NINJTS001.4JR.1</v>
          </cell>
          <cell r="W391">
            <v>424</v>
          </cell>
        </row>
        <row r="392">
          <cell r="E392" t="str">
            <v>25ABJ.NINJT054.7JR</v>
          </cell>
          <cell r="W392">
            <v>400</v>
          </cell>
        </row>
        <row r="393">
          <cell r="E393" t="str">
            <v>25ABJ.NINJT056.1JR</v>
          </cell>
          <cell r="W393">
            <v>0</v>
          </cell>
        </row>
        <row r="394">
          <cell r="E394" t="str">
            <v>25ABJ.NINJT078.6JR.1</v>
          </cell>
          <cell r="W394">
            <v>575</v>
          </cell>
        </row>
        <row r="395">
          <cell r="E395" t="str">
            <v>24ABJ.NPPKARPSG03JE</v>
          </cell>
          <cell r="W395">
            <v>0</v>
          </cell>
        </row>
        <row r="396">
          <cell r="E396" t="str">
            <v>24ABJ.NPPKARPSG05JE</v>
          </cell>
          <cell r="W396">
            <v>0</v>
          </cell>
        </row>
        <row r="397">
          <cell r="E397" t="str">
            <v>24ABJ.NINKARS006PSG.04JE</v>
          </cell>
          <cell r="W397">
            <v>0</v>
          </cell>
        </row>
        <row r="398">
          <cell r="E398" t="str">
            <v>24ABJ.NINKARS006PSG.05JE</v>
          </cell>
          <cell r="W398">
            <v>0</v>
          </cell>
        </row>
        <row r="399">
          <cell r="E399" t="str">
            <v>24ABJ.NINKARS006PSG.06JE</v>
          </cell>
          <cell r="W399">
            <v>0</v>
          </cell>
        </row>
        <row r="400">
          <cell r="E400" t="str">
            <v>24ABJ.NINKARS006PSG.07JE</v>
          </cell>
          <cell r="W400">
            <v>0</v>
          </cell>
        </row>
        <row r="401">
          <cell r="E401" t="str">
            <v>24ABJ.NINKARS006PSG.08JE</v>
          </cell>
          <cell r="W401">
            <v>1164</v>
          </cell>
        </row>
        <row r="402">
          <cell r="E402" t="str">
            <v>24ABJ.NINKARS006PSG.09JE</v>
          </cell>
          <cell r="W402">
            <v>267</v>
          </cell>
        </row>
        <row r="403">
          <cell r="E403" t="str">
            <v>24ABJ.NINKARS006PSG.10JE</v>
          </cell>
          <cell r="W403">
            <v>135</v>
          </cell>
        </row>
        <row r="404">
          <cell r="E404" t="str">
            <v>24ABJ.NINKARS006PSG.11JE</v>
          </cell>
          <cell r="W404">
            <v>3207</v>
          </cell>
        </row>
        <row r="405">
          <cell r="E405" t="str">
            <v>24ABJ.NINKARS006PSG.12JE</v>
          </cell>
          <cell r="W405">
            <v>0</v>
          </cell>
        </row>
        <row r="406">
          <cell r="E406" t="str">
            <v>24ABJ.NINKARS006</v>
          </cell>
          <cell r="W406">
            <v>300</v>
          </cell>
        </row>
        <row r="407">
          <cell r="E407" t="str">
            <v>NIN23KABB020.6</v>
          </cell>
          <cell r="W407">
            <v>0</v>
          </cell>
        </row>
        <row r="408">
          <cell r="E408" t="str">
            <v>24ABJ.NINKARB019.9JE</v>
          </cell>
          <cell r="W408">
            <v>420</v>
          </cell>
        </row>
        <row r="409">
          <cell r="E409" t="str">
            <v>24ABJ.NINKARB020.16JE</v>
          </cell>
          <cell r="W409">
            <v>0</v>
          </cell>
        </row>
        <row r="410">
          <cell r="E410" t="str">
            <v>24ABJ.NINKARB019.15JE</v>
          </cell>
          <cell r="W410">
            <v>0</v>
          </cell>
        </row>
        <row r="411">
          <cell r="E411" t="str">
            <v>25ABJ.NINKARS002.3JE</v>
          </cell>
          <cell r="W411">
            <v>0</v>
          </cell>
        </row>
        <row r="412">
          <cell r="E412" t="str">
            <v>25ABJ.NINKARS002.4JE</v>
          </cell>
          <cell r="W412">
            <v>0</v>
          </cell>
        </row>
        <row r="413">
          <cell r="E413" t="str">
            <v>25ABJ.NINKARB016.1JE</v>
          </cell>
          <cell r="W413">
            <v>0</v>
          </cell>
        </row>
        <row r="414">
          <cell r="E414" t="str">
            <v>25ABJ.NINKARP009.1JE</v>
          </cell>
          <cell r="W414">
            <v>0</v>
          </cell>
        </row>
        <row r="415">
          <cell r="E415" t="str">
            <v>25ABJ.NINKARB020.19JE</v>
          </cell>
          <cell r="W415">
            <v>0</v>
          </cell>
        </row>
        <row r="416">
          <cell r="E416" t="str">
            <v>25ABJ.NINKARS014.1JE</v>
          </cell>
          <cell r="W416">
            <v>0</v>
          </cell>
        </row>
        <row r="417">
          <cell r="E417" t="str">
            <v>25ABJ.NINKARB014.3JE</v>
          </cell>
          <cell r="W417">
            <v>0</v>
          </cell>
        </row>
        <row r="418">
          <cell r="E418" t="str">
            <v>25ABJ.NINKARB016.4JE</v>
          </cell>
          <cell r="W418">
            <v>682</v>
          </cell>
        </row>
        <row r="419">
          <cell r="E419" t="str">
            <v>25ABJ.NINKARS006PSG.13.1JE</v>
          </cell>
          <cell r="W419">
            <v>1578</v>
          </cell>
        </row>
        <row r="420">
          <cell r="E420" t="str">
            <v>25ABJ.NINKARS006PSG.14.1JE</v>
          </cell>
          <cell r="W420">
            <v>0</v>
          </cell>
        </row>
        <row r="421">
          <cell r="E421" t="str">
            <v>25ABJ.NINKARS006PSG.17.1JE</v>
          </cell>
          <cell r="W421">
            <v>0</v>
          </cell>
        </row>
        <row r="422">
          <cell r="E422" t="str">
            <v>25ABJ.NINKARS006PSG.18.2JE</v>
          </cell>
          <cell r="W422">
            <v>0</v>
          </cell>
        </row>
        <row r="423">
          <cell r="E423" t="str">
            <v>25ABJ.NINKARS006PSG.18.1JE</v>
          </cell>
          <cell r="W423">
            <v>0</v>
          </cell>
        </row>
        <row r="424">
          <cell r="E424" t="str">
            <v>25ABJ.NINKARS006PSG.13.3JE</v>
          </cell>
          <cell r="W424">
            <v>48</v>
          </cell>
        </row>
        <row r="425">
          <cell r="E425" t="str">
            <v>25ABJ.NINKARS006PSG.13.4JE</v>
          </cell>
          <cell r="W425">
            <v>0</v>
          </cell>
        </row>
        <row r="426">
          <cell r="E426" t="str">
            <v>25ABJ.NINKARS006PSG.15.1JE</v>
          </cell>
          <cell r="W426">
            <v>0</v>
          </cell>
        </row>
        <row r="427">
          <cell r="E427" t="str">
            <v>25ABJ.NINKARB006.4JE</v>
          </cell>
          <cell r="W427">
            <v>0</v>
          </cell>
        </row>
        <row r="428">
          <cell r="E428" t="str">
            <v>25ABJ.NINKARB006.5JE</v>
          </cell>
          <cell r="W428">
            <v>0</v>
          </cell>
        </row>
        <row r="429">
          <cell r="E429" t="str">
            <v>25ABJ.NINKARB016.5JE</v>
          </cell>
          <cell r="W429">
            <v>131</v>
          </cell>
        </row>
        <row r="430">
          <cell r="E430" t="str">
            <v>25ABJ.NINKARB016.5.1JE</v>
          </cell>
          <cell r="W430">
            <v>0</v>
          </cell>
        </row>
        <row r="431">
          <cell r="E431" t="str">
            <v>25ABJ.NINKARS006.2JE</v>
          </cell>
          <cell r="W431">
            <v>0</v>
          </cell>
        </row>
        <row r="432">
          <cell r="E432" t="str">
            <v>25ABJ.NINKARB020.17JE</v>
          </cell>
          <cell r="W432">
            <v>0</v>
          </cell>
        </row>
        <row r="433">
          <cell r="E433" t="str">
            <v>25ABJ.NINKARB020.11JE</v>
          </cell>
          <cell r="W433">
            <v>0</v>
          </cell>
        </row>
        <row r="434">
          <cell r="E434" t="str">
            <v>25ABJ.NINKARB020.13JE</v>
          </cell>
          <cell r="W434">
            <v>0</v>
          </cell>
        </row>
        <row r="435">
          <cell r="E435" t="str">
            <v>25ABJ.NINBUR162.1JP</v>
          </cell>
          <cell r="W435">
            <v>1941.4</v>
          </cell>
        </row>
        <row r="436">
          <cell r="E436" t="str">
            <v>25ABJ.NINBUR162.9JP</v>
          </cell>
          <cell r="W436">
            <v>475</v>
          </cell>
        </row>
        <row r="437">
          <cell r="E437" t="str">
            <v>25ABJ.NINBUR162.5JP</v>
          </cell>
          <cell r="W437">
            <v>0</v>
          </cell>
        </row>
        <row r="438">
          <cell r="E438" t="str">
            <v>25ABJ.NINBUR162.8JP</v>
          </cell>
          <cell r="W438">
            <v>0</v>
          </cell>
        </row>
        <row r="439">
          <cell r="E439" t="str">
            <v>25ABJ.NINBUR162.10JP</v>
          </cell>
          <cell r="W439">
            <v>0</v>
          </cell>
        </row>
        <row r="440">
          <cell r="E440" t="str">
            <v>24ABJ.NINBUR156.1</v>
          </cell>
          <cell r="W440">
            <v>136</v>
          </cell>
        </row>
      </sheetData>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Indradi Kridiasto" id="{4E74C0FF-4269-A449-8B08-C8502D30EC9F}" userId="d08144d28462779f"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5" dT="2026-05-19T07:56:16.78" personId="{4E74C0FF-4269-A449-8B08-C8502D30EC9F}" id="{79A1C6D7-729C-E14B-A6A3-9B799C4B6802}">
    <text>Buat sebagai target dan aktual pelaksanaan:
Hydrotest: xx Mei 2026 (done xxx/05)
Flushing: 19 Mei 2026
 (done xxx/o5)
Tescom: 25 Mei 2026
MC-100:  1 Juni 2026
DPPP:  8 Juni 2026</text>
  </threadedComment>
</ThreadedComments>
</file>

<file path=xl/threadedComments/threadedComment2.xml><?xml version="1.0" encoding="utf-8"?>
<ThreadedComments xmlns="http://schemas.microsoft.com/office/spreadsheetml/2018/threadedcomments" xmlns:x="http://schemas.openxmlformats.org/spreadsheetml/2006/main">
  <threadedComment ref="N2" dT="2026-05-19T07:56:16.78" personId="{4E74C0FF-4269-A449-8B08-C8502D30EC9F}" id="{79A1C6D7-729C-E14C-A6A3-9B799C4B6802}">
    <text>Buat sebagai target dan aktual pelaksanaan:
Hydrotest: xx Mei 2026 (done xxx/05)
Flushing: 19 Mei 2026
 (done xxx/o5)
Tescom: 25 Mei 2026
MC-100:  1 Juni 2026
DPPP:  8 Juni 2026</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1AE53-A495-4585-9278-5EE252681CAD}">
  <sheetPr filterMode="1"/>
  <dimension ref="B1:Q100"/>
  <sheetViews>
    <sheetView tabSelected="1" zoomScale="62" zoomScaleNormal="48" workbookViewId="0">
      <pane xSplit="6" ySplit="3" topLeftCell="G9" activePane="bottomRight" state="frozen"/>
      <selection pane="topRight" activeCell="G1" sqref="G1"/>
      <selection pane="bottomLeft" activeCell="A4" sqref="A4"/>
      <selection pane="bottomRight" activeCell="H100" sqref="H100"/>
    </sheetView>
  </sheetViews>
  <sheetFormatPr baseColWidth="10" defaultColWidth="8.6640625" defaultRowHeight="21" x14ac:dyDescent="0.25"/>
  <cols>
    <col min="1" max="2" width="8.6640625" style="84"/>
    <col min="3" max="3" width="21.6640625" style="84" bestFit="1" customWidth="1"/>
    <col min="4" max="4" width="21.6640625" style="84" customWidth="1"/>
    <col min="5" max="5" width="39.83203125" style="84" customWidth="1"/>
    <col min="6" max="6" width="24.1640625" style="84" customWidth="1"/>
    <col min="7" max="7" width="27.83203125" style="101" customWidth="1"/>
    <col min="8" max="8" width="12" style="101" customWidth="1"/>
    <col min="9" max="9" width="20.33203125" style="110" customWidth="1"/>
    <col min="10" max="10" width="13.1640625" style="101" customWidth="1"/>
    <col min="11" max="12" width="11.33203125" style="107" customWidth="1"/>
    <col min="13" max="13" width="21.5" style="101" bestFit="1" customWidth="1"/>
    <col min="14" max="14" width="21.5" style="101" customWidth="1"/>
    <col min="15" max="15" width="58.5" style="114" customWidth="1"/>
    <col min="16" max="16" width="48.6640625" style="101" customWidth="1"/>
    <col min="17" max="17" width="18.1640625" style="101" customWidth="1"/>
    <col min="18" max="16384" width="8.6640625" style="84"/>
  </cols>
  <sheetData>
    <row r="1" spans="2:17" x14ac:dyDescent="0.25">
      <c r="F1" s="84">
        <f>SUBTOTAL(3,F4:F99)</f>
        <v>9</v>
      </c>
    </row>
    <row r="2" spans="2:17" ht="57" customHeight="1" x14ac:dyDescent="0.25">
      <c r="B2" s="82" t="s">
        <v>0</v>
      </c>
      <c r="C2" s="82" t="s">
        <v>1</v>
      </c>
      <c r="D2" s="83" t="s">
        <v>391</v>
      </c>
      <c r="E2" s="83" t="s">
        <v>3</v>
      </c>
      <c r="F2" s="83" t="s">
        <v>4</v>
      </c>
      <c r="G2" s="83" t="s">
        <v>601</v>
      </c>
      <c r="H2" s="4" t="s">
        <v>7</v>
      </c>
      <c r="I2" s="108" t="s">
        <v>8</v>
      </c>
      <c r="J2" s="4" t="s">
        <v>9</v>
      </c>
      <c r="K2" s="104" t="s">
        <v>10</v>
      </c>
      <c r="L2" s="104" t="s">
        <v>11</v>
      </c>
      <c r="M2" s="4" t="s">
        <v>6</v>
      </c>
      <c r="N2" s="4" t="s">
        <v>12</v>
      </c>
      <c r="O2" s="83" t="s">
        <v>13</v>
      </c>
      <c r="P2" s="83" t="s">
        <v>15</v>
      </c>
      <c r="Q2" s="83" t="s">
        <v>637</v>
      </c>
    </row>
    <row r="3" spans="2:17" x14ac:dyDescent="0.25">
      <c r="B3" s="82"/>
      <c r="C3" s="82"/>
      <c r="D3" s="82"/>
      <c r="E3" s="82"/>
      <c r="F3" s="82"/>
      <c r="G3" s="83"/>
      <c r="H3" s="83"/>
      <c r="I3" s="109"/>
      <c r="J3" s="83"/>
      <c r="K3" s="105"/>
      <c r="L3" s="105"/>
      <c r="M3" s="83"/>
      <c r="N3" s="83"/>
      <c r="O3" s="113"/>
      <c r="P3" s="85"/>
      <c r="Q3" s="83"/>
    </row>
    <row r="4" spans="2:17" ht="154" hidden="1" x14ac:dyDescent="0.25">
      <c r="B4" s="86">
        <v>1</v>
      </c>
      <c r="C4" s="87" t="s">
        <v>46</v>
      </c>
      <c r="D4" s="88" t="s">
        <v>392</v>
      </c>
      <c r="E4" s="90" t="s">
        <v>393</v>
      </c>
      <c r="F4" s="89" t="s">
        <v>394</v>
      </c>
      <c r="G4" s="102">
        <v>1900517720</v>
      </c>
      <c r="H4" s="102">
        <v>1723</v>
      </c>
      <c r="I4" s="102">
        <v>1941</v>
      </c>
      <c r="J4" s="103">
        <f>H4-I4</f>
        <v>-218</v>
      </c>
      <c r="K4" s="106">
        <v>1</v>
      </c>
      <c r="L4" s="106"/>
      <c r="M4" s="10" t="s">
        <v>14</v>
      </c>
      <c r="N4" s="10"/>
      <c r="O4" s="11" t="s">
        <v>250</v>
      </c>
      <c r="P4" s="91" t="s">
        <v>635</v>
      </c>
      <c r="Q4" s="10" t="s">
        <v>395</v>
      </c>
    </row>
    <row r="5" spans="2:17" ht="132" hidden="1" x14ac:dyDescent="0.25">
      <c r="B5" s="86">
        <v>2</v>
      </c>
      <c r="C5" s="87" t="s">
        <v>46</v>
      </c>
      <c r="D5" s="88" t="s">
        <v>392</v>
      </c>
      <c r="E5" s="90" t="s">
        <v>396</v>
      </c>
      <c r="F5" s="90" t="s">
        <v>397</v>
      </c>
      <c r="G5" s="102">
        <v>566145404</v>
      </c>
      <c r="H5" s="102">
        <v>499</v>
      </c>
      <c r="I5" s="102">
        <v>475</v>
      </c>
      <c r="J5" s="103">
        <f t="shared" ref="J5:J68" si="0">H5-I5</f>
        <v>24</v>
      </c>
      <c r="K5" s="106">
        <v>1</v>
      </c>
      <c r="L5" s="106"/>
      <c r="M5" s="10" t="s">
        <v>14</v>
      </c>
      <c r="N5" s="10"/>
      <c r="O5" s="11" t="s">
        <v>250</v>
      </c>
      <c r="P5" s="91" t="s">
        <v>603</v>
      </c>
      <c r="Q5" s="10" t="s">
        <v>395</v>
      </c>
    </row>
    <row r="6" spans="2:17" ht="132" hidden="1" x14ac:dyDescent="0.25">
      <c r="B6" s="86">
        <v>3</v>
      </c>
      <c r="C6" s="87" t="s">
        <v>46</v>
      </c>
      <c r="D6" s="88" t="s">
        <v>392</v>
      </c>
      <c r="E6" s="89" t="s">
        <v>398</v>
      </c>
      <c r="F6" s="89" t="s">
        <v>399</v>
      </c>
      <c r="G6" s="102">
        <v>845547893</v>
      </c>
      <c r="H6" s="102">
        <v>574</v>
      </c>
      <c r="I6" s="102">
        <f>_xlfn.XLOOKUP(E6,'[2]Database MK'!$E$345:$E$440,'[2]Database MK'!$W$345:$W$440)</f>
        <v>0</v>
      </c>
      <c r="J6" s="103">
        <f t="shared" si="0"/>
        <v>574</v>
      </c>
      <c r="K6" s="106">
        <f t="shared" ref="K6:K68" si="1">I6/H6</f>
        <v>0</v>
      </c>
      <c r="L6" s="106"/>
      <c r="M6" s="10" t="s">
        <v>127</v>
      </c>
      <c r="N6" s="10"/>
      <c r="O6" s="10"/>
      <c r="P6" s="91" t="s">
        <v>604</v>
      </c>
      <c r="Q6" s="10" t="s">
        <v>395</v>
      </c>
    </row>
    <row r="7" spans="2:17" ht="132" hidden="1" x14ac:dyDescent="0.25">
      <c r="B7" s="86">
        <v>4</v>
      </c>
      <c r="C7" s="87" t="s">
        <v>46</v>
      </c>
      <c r="D7" s="88" t="s">
        <v>392</v>
      </c>
      <c r="E7" s="89" t="s">
        <v>400</v>
      </c>
      <c r="F7" s="89" t="s">
        <v>401</v>
      </c>
      <c r="G7" s="102">
        <v>1299733190</v>
      </c>
      <c r="H7" s="102">
        <v>1107</v>
      </c>
      <c r="I7" s="102">
        <f>_xlfn.XLOOKUP(E7,'[2]Database MK'!$E$345:$E$440,'[2]Database MK'!$W$345:$W$440)</f>
        <v>0</v>
      </c>
      <c r="J7" s="103">
        <f t="shared" si="0"/>
        <v>1107</v>
      </c>
      <c r="K7" s="106">
        <f t="shared" si="1"/>
        <v>0</v>
      </c>
      <c r="L7" s="106"/>
      <c r="M7" s="10" t="s">
        <v>127</v>
      </c>
      <c r="N7" s="10"/>
      <c r="O7" s="10"/>
      <c r="P7" s="91" t="s">
        <v>605</v>
      </c>
      <c r="Q7" s="10" t="s">
        <v>395</v>
      </c>
    </row>
    <row r="8" spans="2:17" ht="132" hidden="1" x14ac:dyDescent="0.25">
      <c r="B8" s="86">
        <v>5</v>
      </c>
      <c r="C8" s="87" t="s">
        <v>46</v>
      </c>
      <c r="D8" s="88" t="s">
        <v>392</v>
      </c>
      <c r="E8" s="89" t="s">
        <v>402</v>
      </c>
      <c r="F8" s="89" t="s">
        <v>403</v>
      </c>
      <c r="G8" s="102">
        <v>743181033</v>
      </c>
      <c r="H8" s="102">
        <v>591</v>
      </c>
      <c r="I8" s="102">
        <f>_xlfn.XLOOKUP(E8,'[2]Database MK'!$E$345:$E$440,'[2]Database MK'!$W$345:$W$440)</f>
        <v>0</v>
      </c>
      <c r="J8" s="103">
        <f t="shared" si="0"/>
        <v>591</v>
      </c>
      <c r="K8" s="106">
        <f t="shared" si="1"/>
        <v>0</v>
      </c>
      <c r="L8" s="106"/>
      <c r="M8" s="10" t="s">
        <v>127</v>
      </c>
      <c r="N8" s="10"/>
      <c r="O8" s="10"/>
      <c r="P8" s="91" t="s">
        <v>604</v>
      </c>
      <c r="Q8" s="10" t="s">
        <v>395</v>
      </c>
    </row>
    <row r="9" spans="2:17" ht="132" x14ac:dyDescent="0.25">
      <c r="B9" s="86">
        <v>6</v>
      </c>
      <c r="C9" s="87" t="s">
        <v>46</v>
      </c>
      <c r="D9" s="88" t="s">
        <v>392</v>
      </c>
      <c r="E9" s="89" t="s">
        <v>404</v>
      </c>
      <c r="F9" s="89" t="s">
        <v>405</v>
      </c>
      <c r="G9" s="102">
        <v>185939569</v>
      </c>
      <c r="H9" s="102">
        <v>136</v>
      </c>
      <c r="I9" s="102">
        <f>_xlfn.XLOOKUP(E9,'[2]Database MK'!$E$345:$E$440,'[2]Database MK'!$W$345:$W$440)</f>
        <v>136</v>
      </c>
      <c r="J9" s="103">
        <f t="shared" si="0"/>
        <v>0</v>
      </c>
      <c r="K9" s="106">
        <f t="shared" si="1"/>
        <v>1</v>
      </c>
      <c r="L9" s="106"/>
      <c r="M9" s="10" t="s">
        <v>50</v>
      </c>
      <c r="N9" s="10"/>
      <c r="O9" s="10"/>
      <c r="P9" s="91" t="s">
        <v>606</v>
      </c>
      <c r="Q9" s="10" t="s">
        <v>406</v>
      </c>
    </row>
    <row r="10" spans="2:17" ht="154" hidden="1" x14ac:dyDescent="0.25">
      <c r="B10" s="86">
        <v>7</v>
      </c>
      <c r="C10" s="6" t="s">
        <v>117</v>
      </c>
      <c r="D10" s="88" t="s">
        <v>407</v>
      </c>
      <c r="E10" s="90" t="s">
        <v>408</v>
      </c>
      <c r="F10" s="11" t="s">
        <v>409</v>
      </c>
      <c r="G10" s="102">
        <v>116190335817</v>
      </c>
      <c r="H10" s="102">
        <v>3250</v>
      </c>
      <c r="I10" s="102">
        <f>_xlfn.XLOOKUP(E10,'[2]Database MK'!$E$345:$E$440,'[2]Database MK'!$W$345:$W$440)</f>
        <v>0</v>
      </c>
      <c r="J10" s="103">
        <f t="shared" si="0"/>
        <v>3250</v>
      </c>
      <c r="K10" s="106">
        <f t="shared" si="1"/>
        <v>0</v>
      </c>
      <c r="L10" s="106"/>
      <c r="M10" s="10" t="s">
        <v>127</v>
      </c>
      <c r="N10" s="10"/>
      <c r="O10" s="11" t="s">
        <v>641</v>
      </c>
      <c r="P10" s="91" t="s">
        <v>621</v>
      </c>
      <c r="Q10" s="10" t="s">
        <v>410</v>
      </c>
    </row>
    <row r="11" spans="2:17" ht="132" hidden="1" x14ac:dyDescent="0.25">
      <c r="B11" s="86">
        <v>8</v>
      </c>
      <c r="C11" s="6" t="s">
        <v>117</v>
      </c>
      <c r="D11" s="88" t="s">
        <v>411</v>
      </c>
      <c r="E11" s="90" t="s">
        <v>412</v>
      </c>
      <c r="F11" s="89" t="s">
        <v>413</v>
      </c>
      <c r="G11" s="102">
        <v>73854573626</v>
      </c>
      <c r="H11" s="102">
        <v>2000</v>
      </c>
      <c r="I11" s="102">
        <f>_xlfn.XLOOKUP(E11,'[2]Database MK'!$E$345:$E$440,'[2]Database MK'!$W$345:$W$440)</f>
        <v>0</v>
      </c>
      <c r="J11" s="103">
        <f t="shared" si="0"/>
        <v>2000</v>
      </c>
      <c r="K11" s="106">
        <f t="shared" si="1"/>
        <v>0</v>
      </c>
      <c r="L11" s="106"/>
      <c r="M11" s="10" t="s">
        <v>636</v>
      </c>
      <c r="N11" s="10"/>
      <c r="O11" s="11" t="s">
        <v>640</v>
      </c>
      <c r="P11" s="91" t="s">
        <v>607</v>
      </c>
      <c r="Q11" s="10" t="s">
        <v>414</v>
      </c>
    </row>
    <row r="12" spans="2:17" ht="132" hidden="1" x14ac:dyDescent="0.25">
      <c r="B12" s="86">
        <v>9</v>
      </c>
      <c r="C12" s="6" t="s">
        <v>117</v>
      </c>
      <c r="D12" s="92" t="s">
        <v>415</v>
      </c>
      <c r="E12" s="90" t="s">
        <v>416</v>
      </c>
      <c r="F12" s="90" t="s">
        <v>417</v>
      </c>
      <c r="G12" s="102">
        <v>4190030534</v>
      </c>
      <c r="H12" s="102">
        <v>1</v>
      </c>
      <c r="I12" s="102">
        <f>_xlfn.XLOOKUP(E12,'[2]Database MK'!$E$345:$E$440,'[2]Database MK'!$W$345:$W$440)</f>
        <v>0</v>
      </c>
      <c r="J12" s="103">
        <f t="shared" si="0"/>
        <v>1</v>
      </c>
      <c r="K12" s="106">
        <f t="shared" si="1"/>
        <v>0</v>
      </c>
      <c r="L12" s="106"/>
      <c r="M12" s="10" t="s">
        <v>680</v>
      </c>
      <c r="N12" s="10"/>
      <c r="O12" s="10"/>
      <c r="P12" s="91" t="s">
        <v>607</v>
      </c>
      <c r="Q12" s="10" t="s">
        <v>418</v>
      </c>
    </row>
    <row r="13" spans="2:17" ht="132" hidden="1" x14ac:dyDescent="0.25">
      <c r="B13" s="86">
        <v>10</v>
      </c>
      <c r="C13" s="6" t="s">
        <v>117</v>
      </c>
      <c r="D13" s="92" t="s">
        <v>415</v>
      </c>
      <c r="E13" s="90" t="s">
        <v>419</v>
      </c>
      <c r="F13" s="90" t="s">
        <v>420</v>
      </c>
      <c r="G13" s="102">
        <v>3505797266</v>
      </c>
      <c r="H13" s="102">
        <v>1</v>
      </c>
      <c r="I13" s="102">
        <f>_xlfn.XLOOKUP(E13,'[2]Database MK'!$E$345:$E$440,'[2]Database MK'!$W$345:$W$440)</f>
        <v>0</v>
      </c>
      <c r="J13" s="103">
        <f t="shared" si="0"/>
        <v>1</v>
      </c>
      <c r="K13" s="106">
        <f t="shared" si="1"/>
        <v>0</v>
      </c>
      <c r="L13" s="106"/>
      <c r="M13" s="10" t="s">
        <v>680</v>
      </c>
      <c r="N13" s="10"/>
      <c r="O13" s="10"/>
      <c r="P13" s="91" t="s">
        <v>607</v>
      </c>
      <c r="Q13" s="10" t="s">
        <v>418</v>
      </c>
    </row>
    <row r="14" spans="2:17" ht="132" hidden="1" x14ac:dyDescent="0.25">
      <c r="B14" s="86">
        <v>11</v>
      </c>
      <c r="C14" s="6" t="s">
        <v>117</v>
      </c>
      <c r="D14" s="92" t="s">
        <v>415</v>
      </c>
      <c r="E14" s="90" t="s">
        <v>421</v>
      </c>
      <c r="F14" s="90" t="s">
        <v>422</v>
      </c>
      <c r="G14" s="102">
        <v>2701873397</v>
      </c>
      <c r="H14" s="102">
        <v>1</v>
      </c>
      <c r="I14" s="102">
        <f>_xlfn.XLOOKUP(E14,'[2]Database MK'!$E$345:$E$440,'[2]Database MK'!$W$345:$W$440)</f>
        <v>0</v>
      </c>
      <c r="J14" s="103">
        <f t="shared" si="0"/>
        <v>1</v>
      </c>
      <c r="K14" s="106">
        <f t="shared" si="1"/>
        <v>0</v>
      </c>
      <c r="L14" s="106"/>
      <c r="M14" s="10" t="s">
        <v>680</v>
      </c>
      <c r="N14" s="10"/>
      <c r="O14" s="10"/>
      <c r="P14" s="91" t="s">
        <v>607</v>
      </c>
      <c r="Q14" s="10" t="s">
        <v>418</v>
      </c>
    </row>
    <row r="15" spans="2:17" ht="132" hidden="1" x14ac:dyDescent="0.25">
      <c r="B15" s="86">
        <v>12</v>
      </c>
      <c r="C15" s="6" t="s">
        <v>117</v>
      </c>
      <c r="D15" s="92" t="s">
        <v>415</v>
      </c>
      <c r="E15" s="90" t="s">
        <v>423</v>
      </c>
      <c r="F15" s="90" t="s">
        <v>424</v>
      </c>
      <c r="G15" s="102">
        <v>3727915906</v>
      </c>
      <c r="H15" s="102">
        <v>1</v>
      </c>
      <c r="I15" s="102">
        <f>_xlfn.XLOOKUP(E15,'[2]Database MK'!$E$345:$E$440,'[2]Database MK'!$W$345:$W$440)</f>
        <v>0</v>
      </c>
      <c r="J15" s="103">
        <f t="shared" si="0"/>
        <v>1</v>
      </c>
      <c r="K15" s="106">
        <f t="shared" si="1"/>
        <v>0</v>
      </c>
      <c r="L15" s="106"/>
      <c r="M15" s="10" t="s">
        <v>680</v>
      </c>
      <c r="N15" s="10"/>
      <c r="O15" s="10"/>
      <c r="P15" s="91" t="s">
        <v>607</v>
      </c>
      <c r="Q15" s="10" t="s">
        <v>418</v>
      </c>
    </row>
    <row r="16" spans="2:17" ht="132" hidden="1" x14ac:dyDescent="0.25">
      <c r="B16" s="86">
        <v>13</v>
      </c>
      <c r="C16" s="6" t="s">
        <v>117</v>
      </c>
      <c r="D16" s="92" t="s">
        <v>415</v>
      </c>
      <c r="E16" s="90" t="s">
        <v>425</v>
      </c>
      <c r="F16" s="90" t="s">
        <v>426</v>
      </c>
      <c r="G16" s="102">
        <v>7763044097</v>
      </c>
      <c r="H16" s="102">
        <v>1</v>
      </c>
      <c r="I16" s="102">
        <f>_xlfn.XLOOKUP(E16,'[2]Database MK'!$E$345:$E$440,'[2]Database MK'!$W$345:$W$440)</f>
        <v>0</v>
      </c>
      <c r="J16" s="103">
        <f t="shared" si="0"/>
        <v>1</v>
      </c>
      <c r="K16" s="106">
        <f t="shared" si="1"/>
        <v>0</v>
      </c>
      <c r="L16" s="106"/>
      <c r="M16" s="10" t="s">
        <v>681</v>
      </c>
      <c r="N16" s="10"/>
      <c r="O16" s="10"/>
      <c r="P16" s="91" t="s">
        <v>607</v>
      </c>
      <c r="Q16" s="10" t="s">
        <v>418</v>
      </c>
    </row>
    <row r="17" spans="2:17" ht="132" hidden="1" x14ac:dyDescent="0.25">
      <c r="B17" s="86">
        <v>14</v>
      </c>
      <c r="C17" s="6" t="s">
        <v>117</v>
      </c>
      <c r="D17" s="92" t="s">
        <v>392</v>
      </c>
      <c r="E17" s="90" t="s">
        <v>427</v>
      </c>
      <c r="F17" s="89" t="s">
        <v>428</v>
      </c>
      <c r="G17" s="102">
        <v>1611907405</v>
      </c>
      <c r="H17" s="102">
        <v>1020</v>
      </c>
      <c r="I17" s="102">
        <f>_xlfn.XLOOKUP(E17,'[2]Database MK'!$E$345:$E$440,'[2]Database MK'!$W$345:$W$440)</f>
        <v>0</v>
      </c>
      <c r="J17" s="103">
        <f t="shared" si="0"/>
        <v>1020</v>
      </c>
      <c r="K17" s="106">
        <f t="shared" si="1"/>
        <v>0</v>
      </c>
      <c r="L17" s="106"/>
      <c r="M17" s="10" t="s">
        <v>127</v>
      </c>
      <c r="N17" s="10"/>
      <c r="O17" s="10"/>
      <c r="P17" s="91" t="s">
        <v>608</v>
      </c>
      <c r="Q17" s="10" t="s">
        <v>429</v>
      </c>
    </row>
    <row r="18" spans="2:17" ht="132" hidden="1" x14ac:dyDescent="0.25">
      <c r="B18" s="86">
        <v>15</v>
      </c>
      <c r="C18" s="6" t="s">
        <v>117</v>
      </c>
      <c r="D18" s="92" t="s">
        <v>392</v>
      </c>
      <c r="E18" s="90" t="s">
        <v>430</v>
      </c>
      <c r="F18" s="89" t="s">
        <v>431</v>
      </c>
      <c r="G18" s="102">
        <v>108263184306</v>
      </c>
      <c r="H18" s="102">
        <v>59661</v>
      </c>
      <c r="I18" s="102">
        <f>_xlfn.XLOOKUP(E18,'[2]Database MK'!$E$345:$E$440,'[2]Database MK'!$W$345:$W$440)</f>
        <v>0</v>
      </c>
      <c r="J18" s="103">
        <f t="shared" si="0"/>
        <v>59661</v>
      </c>
      <c r="K18" s="106">
        <f t="shared" si="1"/>
        <v>0</v>
      </c>
      <c r="L18" s="106"/>
      <c r="M18" s="10" t="s">
        <v>127</v>
      </c>
      <c r="N18" s="10"/>
      <c r="O18" s="10"/>
      <c r="P18" s="91" t="s">
        <v>622</v>
      </c>
      <c r="Q18" s="10" t="s">
        <v>406</v>
      </c>
    </row>
    <row r="19" spans="2:17" ht="132" hidden="1" x14ac:dyDescent="0.25">
      <c r="B19" s="86">
        <v>16</v>
      </c>
      <c r="C19" s="6" t="s">
        <v>117</v>
      </c>
      <c r="D19" s="92" t="s">
        <v>392</v>
      </c>
      <c r="E19" s="90" t="s">
        <v>432</v>
      </c>
      <c r="F19" s="89" t="s">
        <v>433</v>
      </c>
      <c r="G19" s="102">
        <v>41835326266</v>
      </c>
      <c r="H19" s="102">
        <v>12891</v>
      </c>
      <c r="I19" s="102">
        <f>_xlfn.XLOOKUP(E19,'[2]Database MK'!$E$345:$E$440,'[2]Database MK'!$W$345:$W$440)</f>
        <v>0</v>
      </c>
      <c r="J19" s="103">
        <f t="shared" si="0"/>
        <v>12891</v>
      </c>
      <c r="K19" s="106">
        <f t="shared" si="1"/>
        <v>0</v>
      </c>
      <c r="L19" s="106"/>
      <c r="M19" s="10" t="s">
        <v>127</v>
      </c>
      <c r="N19" s="10"/>
      <c r="O19" s="10"/>
      <c r="P19" s="91" t="s">
        <v>623</v>
      </c>
      <c r="Q19" s="10" t="s">
        <v>429</v>
      </c>
    </row>
    <row r="20" spans="2:17" ht="132" hidden="1" x14ac:dyDescent="0.25">
      <c r="B20" s="86">
        <v>17</v>
      </c>
      <c r="C20" s="6" t="s">
        <v>117</v>
      </c>
      <c r="D20" s="92" t="s">
        <v>392</v>
      </c>
      <c r="E20" s="90" t="s">
        <v>434</v>
      </c>
      <c r="F20" s="90" t="s">
        <v>435</v>
      </c>
      <c r="G20" s="102">
        <v>16449980828</v>
      </c>
      <c r="H20" s="102">
        <v>10122</v>
      </c>
      <c r="I20" s="102">
        <f>_xlfn.XLOOKUP(E20,'[2]Database MK'!$E$345:$E$440,'[2]Database MK'!$W$345:$W$440)</f>
        <v>0</v>
      </c>
      <c r="J20" s="103">
        <f t="shared" si="0"/>
        <v>10122</v>
      </c>
      <c r="K20" s="106">
        <f t="shared" si="1"/>
        <v>0</v>
      </c>
      <c r="L20" s="106"/>
      <c r="M20" s="10" t="s">
        <v>127</v>
      </c>
      <c r="N20" s="10"/>
      <c r="O20" s="10"/>
      <c r="P20" s="91" t="s">
        <v>623</v>
      </c>
      <c r="Q20" s="10" t="s">
        <v>406</v>
      </c>
    </row>
    <row r="21" spans="2:17" ht="132" hidden="1" x14ac:dyDescent="0.25">
      <c r="B21" s="86">
        <v>18</v>
      </c>
      <c r="C21" s="6" t="s">
        <v>117</v>
      </c>
      <c r="D21" s="92" t="s">
        <v>392</v>
      </c>
      <c r="E21" s="90" t="s">
        <v>436</v>
      </c>
      <c r="F21" s="90" t="s">
        <v>437</v>
      </c>
      <c r="G21" s="102">
        <v>31758437828</v>
      </c>
      <c r="H21" s="102">
        <v>18612</v>
      </c>
      <c r="I21" s="102">
        <f>_xlfn.XLOOKUP(E21,'[2]Database MK'!$E$345:$E$440,'[2]Database MK'!$W$345:$W$440)</f>
        <v>0</v>
      </c>
      <c r="J21" s="103">
        <f t="shared" si="0"/>
        <v>18612</v>
      </c>
      <c r="K21" s="106">
        <f t="shared" si="1"/>
        <v>0</v>
      </c>
      <c r="L21" s="106"/>
      <c r="M21" s="10" t="s">
        <v>127</v>
      </c>
      <c r="N21" s="10"/>
      <c r="O21" s="10"/>
      <c r="P21" s="91" t="s">
        <v>623</v>
      </c>
      <c r="Q21" s="10" t="s">
        <v>406</v>
      </c>
    </row>
    <row r="22" spans="2:17" ht="132" hidden="1" x14ac:dyDescent="0.25">
      <c r="B22" s="86">
        <v>19</v>
      </c>
      <c r="C22" s="6" t="s">
        <v>117</v>
      </c>
      <c r="D22" s="92" t="s">
        <v>392</v>
      </c>
      <c r="E22" s="90" t="s">
        <v>438</v>
      </c>
      <c r="F22" s="90" t="s">
        <v>439</v>
      </c>
      <c r="G22" s="102">
        <v>26670132107</v>
      </c>
      <c r="H22" s="102">
        <v>1818</v>
      </c>
      <c r="I22" s="102">
        <f>_xlfn.XLOOKUP(E22,'[2]Database MK'!$E$345:$E$440,'[2]Database MK'!$W$345:$W$440)</f>
        <v>0</v>
      </c>
      <c r="J22" s="103">
        <f t="shared" si="0"/>
        <v>1818</v>
      </c>
      <c r="K22" s="106">
        <f t="shared" si="1"/>
        <v>0</v>
      </c>
      <c r="L22" s="106"/>
      <c r="M22" s="10" t="s">
        <v>127</v>
      </c>
      <c r="N22" s="10"/>
      <c r="O22" s="10"/>
      <c r="P22" s="91" t="s">
        <v>610</v>
      </c>
      <c r="Q22" s="10" t="s">
        <v>406</v>
      </c>
    </row>
    <row r="23" spans="2:17" ht="132" hidden="1" x14ac:dyDescent="0.25">
      <c r="B23" s="86">
        <v>20</v>
      </c>
      <c r="C23" s="6" t="s">
        <v>117</v>
      </c>
      <c r="D23" s="92" t="s">
        <v>392</v>
      </c>
      <c r="E23" s="90" t="s">
        <v>440</v>
      </c>
      <c r="F23" s="89" t="s">
        <v>441</v>
      </c>
      <c r="G23" s="102">
        <v>3196946622</v>
      </c>
      <c r="H23" s="102">
        <v>660</v>
      </c>
      <c r="I23" s="102">
        <f>_xlfn.XLOOKUP(E23,'[2]Database MK'!$E$345:$E$440,'[2]Database MK'!$W$345:$W$440)</f>
        <v>0</v>
      </c>
      <c r="J23" s="103">
        <f t="shared" si="0"/>
        <v>660</v>
      </c>
      <c r="K23" s="106">
        <f t="shared" si="1"/>
        <v>0</v>
      </c>
      <c r="L23" s="106"/>
      <c r="M23" s="10" t="s">
        <v>127</v>
      </c>
      <c r="N23" s="10"/>
      <c r="O23" s="10"/>
      <c r="P23" s="91" t="s">
        <v>610</v>
      </c>
      <c r="Q23" s="10" t="s">
        <v>406</v>
      </c>
    </row>
    <row r="24" spans="2:17" ht="132" hidden="1" x14ac:dyDescent="0.25">
      <c r="B24" s="86">
        <v>21</v>
      </c>
      <c r="C24" s="6" t="s">
        <v>117</v>
      </c>
      <c r="D24" s="92" t="s">
        <v>392</v>
      </c>
      <c r="E24" s="90" t="s">
        <v>442</v>
      </c>
      <c r="F24" s="89" t="s">
        <v>443</v>
      </c>
      <c r="G24" s="102">
        <v>6927006818</v>
      </c>
      <c r="H24" s="102">
        <v>1813</v>
      </c>
      <c r="I24" s="102">
        <f>_xlfn.XLOOKUP(E24,'[2]Database MK'!$E$345:$E$440,'[2]Database MK'!$W$345:$W$440)</f>
        <v>0</v>
      </c>
      <c r="J24" s="103">
        <f t="shared" si="0"/>
        <v>1813</v>
      </c>
      <c r="K24" s="106">
        <f t="shared" si="1"/>
        <v>0</v>
      </c>
      <c r="L24" s="106"/>
      <c r="M24" s="10" t="s">
        <v>127</v>
      </c>
      <c r="N24" s="10"/>
      <c r="O24" s="10"/>
      <c r="P24" s="91" t="s">
        <v>624</v>
      </c>
      <c r="Q24" s="10" t="s">
        <v>406</v>
      </c>
    </row>
    <row r="25" spans="2:17" ht="132" hidden="1" x14ac:dyDescent="0.25">
      <c r="B25" s="86">
        <v>22</v>
      </c>
      <c r="C25" s="6" t="s">
        <v>117</v>
      </c>
      <c r="D25" s="92" t="s">
        <v>392</v>
      </c>
      <c r="E25" s="90" t="s">
        <v>444</v>
      </c>
      <c r="F25" s="89" t="s">
        <v>445</v>
      </c>
      <c r="G25" s="102">
        <v>4118143290</v>
      </c>
      <c r="H25" s="102">
        <v>1953</v>
      </c>
      <c r="I25" s="102">
        <f>_xlfn.XLOOKUP(E25,'[2]Database MK'!$E$345:$E$440,'[2]Database MK'!$W$345:$W$440)</f>
        <v>0</v>
      </c>
      <c r="J25" s="103">
        <f t="shared" si="0"/>
        <v>1953</v>
      </c>
      <c r="K25" s="106">
        <f t="shared" si="1"/>
        <v>0</v>
      </c>
      <c r="L25" s="106"/>
      <c r="M25" s="10" t="s">
        <v>127</v>
      </c>
      <c r="N25" s="10"/>
      <c r="O25" s="10"/>
      <c r="P25" s="91" t="s">
        <v>605</v>
      </c>
      <c r="Q25" s="10" t="s">
        <v>406</v>
      </c>
    </row>
    <row r="26" spans="2:17" ht="132" hidden="1" x14ac:dyDescent="0.25">
      <c r="B26" s="86">
        <v>23</v>
      </c>
      <c r="C26" s="6" t="s">
        <v>117</v>
      </c>
      <c r="D26" s="92" t="s">
        <v>392</v>
      </c>
      <c r="E26" s="90" t="s">
        <v>446</v>
      </c>
      <c r="F26" s="89" t="s">
        <v>447</v>
      </c>
      <c r="G26" s="102">
        <v>3704638539</v>
      </c>
      <c r="H26" s="102">
        <v>2201</v>
      </c>
      <c r="I26" s="102">
        <f>_xlfn.XLOOKUP(E26,'[2]Database MK'!$E$345:$E$440,'[2]Database MK'!$W$345:$W$440)</f>
        <v>0</v>
      </c>
      <c r="J26" s="103">
        <f t="shared" si="0"/>
        <v>2201</v>
      </c>
      <c r="K26" s="106">
        <f t="shared" si="1"/>
        <v>0</v>
      </c>
      <c r="L26" s="106"/>
      <c r="M26" s="10" t="s">
        <v>127</v>
      </c>
      <c r="N26" s="10"/>
      <c r="O26" s="10"/>
      <c r="P26" s="91" t="s">
        <v>605</v>
      </c>
      <c r="Q26" s="10" t="s">
        <v>406</v>
      </c>
    </row>
    <row r="27" spans="2:17" ht="132" hidden="1" x14ac:dyDescent="0.25">
      <c r="B27" s="86">
        <v>24</v>
      </c>
      <c r="C27" s="6" t="s">
        <v>117</v>
      </c>
      <c r="D27" s="92" t="s">
        <v>392</v>
      </c>
      <c r="E27" s="90" t="s">
        <v>448</v>
      </c>
      <c r="F27" s="89" t="s">
        <v>449</v>
      </c>
      <c r="G27" s="102">
        <v>11957112422</v>
      </c>
      <c r="H27" s="102">
        <v>7443</v>
      </c>
      <c r="I27" s="102">
        <f>_xlfn.XLOOKUP(E27,'[2]Database MK'!$E$345:$E$440,'[2]Database MK'!$W$345:$W$440)</f>
        <v>0</v>
      </c>
      <c r="J27" s="103">
        <f t="shared" si="0"/>
        <v>7443</v>
      </c>
      <c r="K27" s="106">
        <f t="shared" si="1"/>
        <v>0</v>
      </c>
      <c r="L27" s="106"/>
      <c r="M27" s="10" t="s">
        <v>127</v>
      </c>
      <c r="N27" s="10"/>
      <c r="O27" s="10"/>
      <c r="P27" s="91" t="s">
        <v>611</v>
      </c>
      <c r="Q27" s="10" t="s">
        <v>406</v>
      </c>
    </row>
    <row r="28" spans="2:17" ht="132" hidden="1" x14ac:dyDescent="0.25">
      <c r="B28" s="86">
        <v>25</v>
      </c>
      <c r="C28" s="6" t="s">
        <v>117</v>
      </c>
      <c r="D28" s="92" t="s">
        <v>392</v>
      </c>
      <c r="E28" s="90" t="s">
        <v>450</v>
      </c>
      <c r="F28" s="89" t="s">
        <v>451</v>
      </c>
      <c r="G28" s="102">
        <v>27440000151</v>
      </c>
      <c r="H28" s="102">
        <v>5686</v>
      </c>
      <c r="I28" s="102">
        <f>_xlfn.XLOOKUP(E28,'[2]Database MK'!$E$345:$E$440,'[2]Database MK'!$W$345:$W$440)</f>
        <v>0</v>
      </c>
      <c r="J28" s="103">
        <f t="shared" si="0"/>
        <v>5686</v>
      </c>
      <c r="K28" s="106">
        <f t="shared" si="1"/>
        <v>0</v>
      </c>
      <c r="L28" s="106"/>
      <c r="M28" s="10" t="s">
        <v>127</v>
      </c>
      <c r="N28" s="10"/>
      <c r="O28" s="10"/>
      <c r="P28" s="91" t="s">
        <v>609</v>
      </c>
      <c r="Q28" s="10" t="s">
        <v>406</v>
      </c>
    </row>
    <row r="29" spans="2:17" ht="132" hidden="1" x14ac:dyDescent="0.25">
      <c r="B29" s="86">
        <v>26</v>
      </c>
      <c r="C29" s="6" t="s">
        <v>117</v>
      </c>
      <c r="D29" s="92" t="s">
        <v>392</v>
      </c>
      <c r="E29" s="90" t="s">
        <v>452</v>
      </c>
      <c r="F29" s="89" t="s">
        <v>453</v>
      </c>
      <c r="G29" s="102">
        <v>55903447227</v>
      </c>
      <c r="H29" s="102">
        <v>32683</v>
      </c>
      <c r="I29" s="102">
        <f>_xlfn.XLOOKUP(E29,'[2]Database MK'!$E$345:$E$440,'[2]Database MK'!$W$345:$W$440)</f>
        <v>0</v>
      </c>
      <c r="J29" s="103">
        <f t="shared" si="0"/>
        <v>32683</v>
      </c>
      <c r="K29" s="106">
        <f t="shared" si="1"/>
        <v>0</v>
      </c>
      <c r="L29" s="106"/>
      <c r="M29" s="10" t="s">
        <v>127</v>
      </c>
      <c r="N29" s="10"/>
      <c r="O29" s="10"/>
      <c r="P29" s="91" t="s">
        <v>609</v>
      </c>
      <c r="Q29" s="10" t="s">
        <v>406</v>
      </c>
    </row>
    <row r="30" spans="2:17" ht="132" hidden="1" x14ac:dyDescent="0.25">
      <c r="B30" s="86">
        <v>27</v>
      </c>
      <c r="C30" s="6" t="s">
        <v>117</v>
      </c>
      <c r="D30" s="92" t="s">
        <v>392</v>
      </c>
      <c r="E30" s="90" t="s">
        <v>454</v>
      </c>
      <c r="F30" s="89" t="s">
        <v>455</v>
      </c>
      <c r="G30" s="102">
        <v>4170299451</v>
      </c>
      <c r="H30" s="102">
        <v>3332</v>
      </c>
      <c r="I30" s="102">
        <f>_xlfn.XLOOKUP(E30,'[2]Database MK'!$E$345:$E$440,'[2]Database MK'!$W$345:$W$440)</f>
        <v>0</v>
      </c>
      <c r="J30" s="103">
        <f t="shared" si="0"/>
        <v>3332</v>
      </c>
      <c r="K30" s="106">
        <f t="shared" si="1"/>
        <v>0</v>
      </c>
      <c r="L30" s="106"/>
      <c r="M30" s="10" t="s">
        <v>127</v>
      </c>
      <c r="N30" s="10"/>
      <c r="O30" s="10"/>
      <c r="P30" s="91" t="s">
        <v>611</v>
      </c>
      <c r="Q30" s="10" t="s">
        <v>429</v>
      </c>
    </row>
    <row r="31" spans="2:17" ht="132" hidden="1" x14ac:dyDescent="0.25">
      <c r="B31" s="86">
        <v>28</v>
      </c>
      <c r="C31" s="6" t="s">
        <v>117</v>
      </c>
      <c r="D31" s="92" t="s">
        <v>392</v>
      </c>
      <c r="E31" s="90" t="s">
        <v>456</v>
      </c>
      <c r="F31" s="89" t="s">
        <v>457</v>
      </c>
      <c r="G31" s="102">
        <v>3277940339</v>
      </c>
      <c r="H31" s="102">
        <v>1592</v>
      </c>
      <c r="I31" s="102">
        <f>_xlfn.XLOOKUP(E31,'[2]Database MK'!$E$345:$E$440,'[2]Database MK'!$W$345:$W$440)</f>
        <v>0</v>
      </c>
      <c r="J31" s="103">
        <f t="shared" si="0"/>
        <v>1592</v>
      </c>
      <c r="K31" s="106">
        <f t="shared" si="1"/>
        <v>0</v>
      </c>
      <c r="L31" s="106"/>
      <c r="M31" s="10" t="s">
        <v>127</v>
      </c>
      <c r="N31" s="10"/>
      <c r="O31" s="10"/>
      <c r="P31" s="91" t="s">
        <v>611</v>
      </c>
      <c r="Q31" s="10" t="s">
        <v>429</v>
      </c>
    </row>
    <row r="32" spans="2:17" ht="132" hidden="1" x14ac:dyDescent="0.25">
      <c r="B32" s="86">
        <v>29</v>
      </c>
      <c r="C32" s="6" t="s">
        <v>117</v>
      </c>
      <c r="D32" s="92" t="s">
        <v>392</v>
      </c>
      <c r="E32" s="90" t="s">
        <v>458</v>
      </c>
      <c r="F32" s="89" t="s">
        <v>459</v>
      </c>
      <c r="G32" s="102">
        <v>48103364397</v>
      </c>
      <c r="H32" s="102">
        <v>24864</v>
      </c>
      <c r="I32" s="102">
        <f>_xlfn.XLOOKUP(E32,'[2]Database MK'!$E$345:$E$440,'[2]Database MK'!$W$345:$W$440)</f>
        <v>0</v>
      </c>
      <c r="J32" s="103">
        <f t="shared" si="0"/>
        <v>24864</v>
      </c>
      <c r="K32" s="106">
        <f t="shared" si="1"/>
        <v>0</v>
      </c>
      <c r="L32" s="106"/>
      <c r="M32" s="10" t="s">
        <v>127</v>
      </c>
      <c r="N32" s="10"/>
      <c r="O32" s="10"/>
      <c r="P32" s="91" t="s">
        <v>625</v>
      </c>
      <c r="Q32" s="10" t="s">
        <v>406</v>
      </c>
    </row>
    <row r="33" spans="2:17" ht="132" hidden="1" x14ac:dyDescent="0.25">
      <c r="B33" s="86">
        <v>30</v>
      </c>
      <c r="C33" s="6" t="s">
        <v>117</v>
      </c>
      <c r="D33" s="92" t="s">
        <v>392</v>
      </c>
      <c r="E33" s="90" t="s">
        <v>460</v>
      </c>
      <c r="F33" s="89" t="s">
        <v>461</v>
      </c>
      <c r="G33" s="102">
        <v>71310108897</v>
      </c>
      <c r="H33" s="102">
        <v>23765</v>
      </c>
      <c r="I33" s="102">
        <f>_xlfn.XLOOKUP(E33,'[2]Database MK'!$E$345:$E$440,'[2]Database MK'!$W$345:$W$440)</f>
        <v>0</v>
      </c>
      <c r="J33" s="103">
        <f t="shared" si="0"/>
        <v>23765</v>
      </c>
      <c r="K33" s="106">
        <f t="shared" si="1"/>
        <v>0</v>
      </c>
      <c r="L33" s="106"/>
      <c r="M33" s="10" t="s">
        <v>127</v>
      </c>
      <c r="N33" s="10"/>
      <c r="O33" s="10"/>
      <c r="P33" s="91" t="s">
        <v>623</v>
      </c>
      <c r="Q33" s="10" t="s">
        <v>406</v>
      </c>
    </row>
    <row r="34" spans="2:17" ht="132" hidden="1" x14ac:dyDescent="0.25">
      <c r="B34" s="86">
        <v>31</v>
      </c>
      <c r="C34" s="6" t="s">
        <v>117</v>
      </c>
      <c r="D34" s="88" t="s">
        <v>392</v>
      </c>
      <c r="E34" s="90" t="s">
        <v>462</v>
      </c>
      <c r="F34" s="89" t="s">
        <v>463</v>
      </c>
      <c r="G34" s="102">
        <v>149392990</v>
      </c>
      <c r="H34" s="102">
        <v>88</v>
      </c>
      <c r="I34" s="102">
        <f>_xlfn.XLOOKUP(E34,'[2]Database MK'!$E$345:$E$440,'[2]Database MK'!$W$345:$W$440)</f>
        <v>0</v>
      </c>
      <c r="J34" s="103">
        <f t="shared" si="0"/>
        <v>88</v>
      </c>
      <c r="K34" s="106">
        <f t="shared" si="1"/>
        <v>0</v>
      </c>
      <c r="L34" s="106"/>
      <c r="M34" s="10" t="s">
        <v>127</v>
      </c>
      <c r="N34" s="10"/>
      <c r="O34" s="10"/>
      <c r="P34" s="91" t="s">
        <v>604</v>
      </c>
      <c r="Q34" s="10" t="s">
        <v>418</v>
      </c>
    </row>
    <row r="35" spans="2:17" ht="132" hidden="1" x14ac:dyDescent="0.25">
      <c r="B35" s="86">
        <v>32</v>
      </c>
      <c r="C35" s="6" t="s">
        <v>117</v>
      </c>
      <c r="D35" s="88" t="s">
        <v>392</v>
      </c>
      <c r="E35" s="90" t="s">
        <v>464</v>
      </c>
      <c r="F35" s="90" t="s">
        <v>465</v>
      </c>
      <c r="G35" s="102">
        <v>1722020292</v>
      </c>
      <c r="H35" s="102">
        <v>904</v>
      </c>
      <c r="I35" s="102">
        <f>_xlfn.XLOOKUP(E35,'[2]Database MK'!$E$345:$E$440,'[2]Database MK'!$W$345:$W$440)</f>
        <v>0</v>
      </c>
      <c r="J35" s="103">
        <f t="shared" si="0"/>
        <v>904</v>
      </c>
      <c r="K35" s="106">
        <f t="shared" si="1"/>
        <v>0</v>
      </c>
      <c r="L35" s="106"/>
      <c r="M35" s="10" t="s">
        <v>127</v>
      </c>
      <c r="N35" s="10"/>
      <c r="O35" s="10"/>
      <c r="P35" s="91" t="s">
        <v>612</v>
      </c>
      <c r="Q35" s="10" t="s">
        <v>418</v>
      </c>
    </row>
    <row r="36" spans="2:17" ht="132" hidden="1" x14ac:dyDescent="0.25">
      <c r="B36" s="93">
        <v>33</v>
      </c>
      <c r="C36" s="94" t="s">
        <v>117</v>
      </c>
      <c r="D36" s="95" t="s">
        <v>392</v>
      </c>
      <c r="E36" s="97" t="s">
        <v>466</v>
      </c>
      <c r="F36" s="97" t="s">
        <v>467</v>
      </c>
      <c r="G36" s="111">
        <v>57696121</v>
      </c>
      <c r="H36" s="111">
        <v>29</v>
      </c>
      <c r="I36" s="111">
        <v>0</v>
      </c>
      <c r="J36" s="103">
        <f t="shared" si="0"/>
        <v>29</v>
      </c>
      <c r="K36" s="112">
        <f t="shared" si="1"/>
        <v>0</v>
      </c>
      <c r="L36" s="112"/>
      <c r="M36" s="100" t="s">
        <v>682</v>
      </c>
      <c r="N36" s="100"/>
      <c r="O36" s="99"/>
      <c r="P36" s="91" t="s">
        <v>613</v>
      </c>
      <c r="Q36" s="98"/>
    </row>
    <row r="37" spans="2:17" ht="132" hidden="1" x14ac:dyDescent="0.25">
      <c r="B37" s="86">
        <v>34</v>
      </c>
      <c r="C37" s="6" t="s">
        <v>117</v>
      </c>
      <c r="D37" s="88" t="s">
        <v>392</v>
      </c>
      <c r="E37" s="90" t="s">
        <v>468</v>
      </c>
      <c r="F37" s="90" t="s">
        <v>469</v>
      </c>
      <c r="G37" s="102">
        <v>134399396</v>
      </c>
      <c r="H37" s="102">
        <v>55</v>
      </c>
      <c r="I37" s="102">
        <f>_xlfn.XLOOKUP(E37,'[2]Database MK'!$E$345:$E$440,'[2]Database MK'!$W$345:$W$440)</f>
        <v>0</v>
      </c>
      <c r="J37" s="103">
        <f t="shared" si="0"/>
        <v>55</v>
      </c>
      <c r="K37" s="106">
        <f t="shared" si="1"/>
        <v>0</v>
      </c>
      <c r="L37" s="106"/>
      <c r="M37" s="10" t="s">
        <v>127</v>
      </c>
      <c r="N37" s="10"/>
      <c r="O37" s="10"/>
      <c r="P37" s="91" t="s">
        <v>604</v>
      </c>
      <c r="Q37" s="10" t="s">
        <v>418</v>
      </c>
    </row>
    <row r="38" spans="2:17" ht="132" hidden="1" x14ac:dyDescent="0.25">
      <c r="B38" s="86">
        <v>35</v>
      </c>
      <c r="C38" s="6" t="s">
        <v>117</v>
      </c>
      <c r="D38" s="88" t="s">
        <v>392</v>
      </c>
      <c r="E38" s="90" t="s">
        <v>470</v>
      </c>
      <c r="F38" s="90" t="s">
        <v>471</v>
      </c>
      <c r="G38" s="102">
        <v>161289261</v>
      </c>
      <c r="H38" s="102">
        <v>87</v>
      </c>
      <c r="I38" s="102">
        <f>_xlfn.XLOOKUP(E38,'[2]Database MK'!$E$345:$E$440,'[2]Database MK'!$W$345:$W$440)</f>
        <v>0</v>
      </c>
      <c r="J38" s="103">
        <f t="shared" si="0"/>
        <v>87</v>
      </c>
      <c r="K38" s="106">
        <f t="shared" si="1"/>
        <v>0</v>
      </c>
      <c r="L38" s="106"/>
      <c r="M38" s="10" t="s">
        <v>127</v>
      </c>
      <c r="N38" s="10"/>
      <c r="O38" s="10"/>
      <c r="P38" s="91" t="s">
        <v>604</v>
      </c>
      <c r="Q38" s="10" t="s">
        <v>418</v>
      </c>
    </row>
    <row r="39" spans="2:17" ht="132" hidden="1" x14ac:dyDescent="0.25">
      <c r="B39" s="86">
        <v>36</v>
      </c>
      <c r="C39" s="6" t="s">
        <v>117</v>
      </c>
      <c r="D39" s="88" t="s">
        <v>392</v>
      </c>
      <c r="E39" s="90" t="s">
        <v>472</v>
      </c>
      <c r="F39" s="90" t="s">
        <v>473</v>
      </c>
      <c r="G39" s="102">
        <v>53491610</v>
      </c>
      <c r="H39" s="102">
        <v>22</v>
      </c>
      <c r="I39" s="102">
        <f>_xlfn.XLOOKUP(E39,'[2]Database MK'!$E$345:$E$440,'[2]Database MK'!$W$345:$W$440)</f>
        <v>0</v>
      </c>
      <c r="J39" s="103">
        <f t="shared" si="0"/>
        <v>22</v>
      </c>
      <c r="K39" s="106">
        <f t="shared" si="1"/>
        <v>0</v>
      </c>
      <c r="L39" s="106"/>
      <c r="M39" s="10" t="s">
        <v>127</v>
      </c>
      <c r="N39" s="10"/>
      <c r="O39" s="10"/>
      <c r="P39" s="91" t="s">
        <v>604</v>
      </c>
      <c r="Q39" s="10" t="s">
        <v>418</v>
      </c>
    </row>
    <row r="40" spans="2:17" ht="132" hidden="1" x14ac:dyDescent="0.25">
      <c r="B40" s="86">
        <v>37</v>
      </c>
      <c r="C40" s="6" t="s">
        <v>117</v>
      </c>
      <c r="D40" s="88" t="s">
        <v>392</v>
      </c>
      <c r="E40" s="90" t="s">
        <v>474</v>
      </c>
      <c r="F40" s="90" t="s">
        <v>475</v>
      </c>
      <c r="G40" s="102">
        <v>139276257</v>
      </c>
      <c r="H40" s="102">
        <v>85</v>
      </c>
      <c r="I40" s="102">
        <f>_xlfn.XLOOKUP(E40,'[2]Database MK'!$E$345:$E$440,'[2]Database MK'!$W$345:$W$440)</f>
        <v>0</v>
      </c>
      <c r="J40" s="103">
        <f t="shared" si="0"/>
        <v>85</v>
      </c>
      <c r="K40" s="106">
        <f t="shared" si="1"/>
        <v>0</v>
      </c>
      <c r="L40" s="106"/>
      <c r="M40" s="10" t="s">
        <v>127</v>
      </c>
      <c r="N40" s="10"/>
      <c r="O40" s="10"/>
      <c r="P40" s="91" t="s">
        <v>604</v>
      </c>
      <c r="Q40" s="10" t="s">
        <v>418</v>
      </c>
    </row>
    <row r="41" spans="2:17" ht="132" hidden="1" x14ac:dyDescent="0.25">
      <c r="B41" s="115">
        <v>38</v>
      </c>
      <c r="C41" s="116" t="s">
        <v>117</v>
      </c>
      <c r="D41" s="117" t="s">
        <v>392</v>
      </c>
      <c r="E41" s="118" t="s">
        <v>476</v>
      </c>
      <c r="F41" s="118" t="s">
        <v>477</v>
      </c>
      <c r="G41" s="120">
        <v>74085744</v>
      </c>
      <c r="H41" s="120">
        <v>38</v>
      </c>
      <c r="I41" s="102">
        <f>_xlfn.XLOOKUP(E41,'[2]Database MK'!$E$345:$E$440,'[2]Database MK'!$W$345:$W$440)</f>
        <v>0</v>
      </c>
      <c r="J41" s="103">
        <f t="shared" si="0"/>
        <v>38</v>
      </c>
      <c r="K41" s="121">
        <f t="shared" si="1"/>
        <v>0</v>
      </c>
      <c r="L41" s="121"/>
      <c r="M41" s="119" t="s">
        <v>636</v>
      </c>
      <c r="N41" s="119"/>
      <c r="O41" s="119"/>
      <c r="P41" s="91" t="s">
        <v>604</v>
      </c>
      <c r="Q41" s="119" t="s">
        <v>418</v>
      </c>
    </row>
    <row r="42" spans="2:17" ht="132" hidden="1" x14ac:dyDescent="0.25">
      <c r="B42" s="93">
        <v>39</v>
      </c>
      <c r="C42" s="94" t="s">
        <v>117</v>
      </c>
      <c r="D42" s="95" t="s">
        <v>392</v>
      </c>
      <c r="E42" s="97" t="s">
        <v>478</v>
      </c>
      <c r="F42" s="97" t="s">
        <v>479</v>
      </c>
      <c r="G42" s="111">
        <v>109944292</v>
      </c>
      <c r="H42" s="111">
        <v>45</v>
      </c>
      <c r="I42" s="111">
        <v>0</v>
      </c>
      <c r="J42" s="103">
        <f t="shared" si="0"/>
        <v>45</v>
      </c>
      <c r="K42" s="112">
        <f t="shared" si="1"/>
        <v>0</v>
      </c>
      <c r="L42" s="112"/>
      <c r="M42" s="100" t="s">
        <v>682</v>
      </c>
      <c r="N42" s="100"/>
      <c r="O42" s="99"/>
      <c r="P42" s="91" t="s">
        <v>613</v>
      </c>
      <c r="Q42" s="98"/>
    </row>
    <row r="43" spans="2:17" ht="132" hidden="1" x14ac:dyDescent="0.25">
      <c r="B43" s="93">
        <v>40</v>
      </c>
      <c r="C43" s="94" t="s">
        <v>117</v>
      </c>
      <c r="D43" s="95" t="s">
        <v>392</v>
      </c>
      <c r="E43" s="97" t="s">
        <v>480</v>
      </c>
      <c r="F43" s="97" t="s">
        <v>481</v>
      </c>
      <c r="G43" s="111">
        <v>370414688</v>
      </c>
      <c r="H43" s="111">
        <v>178</v>
      </c>
      <c r="I43" s="111">
        <v>0</v>
      </c>
      <c r="J43" s="103">
        <f t="shared" si="0"/>
        <v>178</v>
      </c>
      <c r="K43" s="112">
        <f t="shared" si="1"/>
        <v>0</v>
      </c>
      <c r="L43" s="112"/>
      <c r="M43" s="100" t="s">
        <v>682</v>
      </c>
      <c r="N43" s="100"/>
      <c r="O43" s="99"/>
      <c r="P43" s="91" t="s">
        <v>613</v>
      </c>
      <c r="Q43" s="98"/>
    </row>
    <row r="44" spans="2:17" ht="132" hidden="1" x14ac:dyDescent="0.25">
      <c r="B44" s="86">
        <v>41</v>
      </c>
      <c r="C44" s="6" t="s">
        <v>117</v>
      </c>
      <c r="D44" s="88" t="s">
        <v>392</v>
      </c>
      <c r="E44" s="90" t="s">
        <v>482</v>
      </c>
      <c r="F44" s="90" t="s">
        <v>483</v>
      </c>
      <c r="G44" s="102">
        <v>4385993618</v>
      </c>
      <c r="H44" s="102">
        <v>1886</v>
      </c>
      <c r="I44" s="102">
        <f>_xlfn.XLOOKUP(E44,'[2]Database MK'!$E$345:$E$440,'[2]Database MK'!$W$345:$W$440)</f>
        <v>0</v>
      </c>
      <c r="J44" s="103">
        <f t="shared" si="0"/>
        <v>1886</v>
      </c>
      <c r="K44" s="106">
        <f t="shared" si="1"/>
        <v>0</v>
      </c>
      <c r="L44" s="106"/>
      <c r="M44" s="10" t="s">
        <v>127</v>
      </c>
      <c r="N44" s="10"/>
      <c r="O44" s="10"/>
      <c r="P44" s="91" t="s">
        <v>614</v>
      </c>
      <c r="Q44" s="10" t="s">
        <v>418</v>
      </c>
    </row>
    <row r="45" spans="2:17" ht="132" hidden="1" x14ac:dyDescent="0.25">
      <c r="B45" s="86">
        <v>42</v>
      </c>
      <c r="C45" s="6" t="s">
        <v>117</v>
      </c>
      <c r="D45" s="88" t="s">
        <v>392</v>
      </c>
      <c r="E45" s="90" t="s">
        <v>484</v>
      </c>
      <c r="F45" s="90" t="s">
        <v>485</v>
      </c>
      <c r="G45" s="102">
        <v>144117900</v>
      </c>
      <c r="H45" s="102">
        <v>76</v>
      </c>
      <c r="I45" s="102">
        <f>_xlfn.XLOOKUP(E45,'[2]Database MK'!$E$345:$E$440,'[2]Database MK'!$W$345:$W$440)</f>
        <v>0</v>
      </c>
      <c r="J45" s="103">
        <f t="shared" si="0"/>
        <v>76</v>
      </c>
      <c r="K45" s="106">
        <f t="shared" si="1"/>
        <v>0</v>
      </c>
      <c r="L45" s="106"/>
      <c r="M45" s="10" t="s">
        <v>127</v>
      </c>
      <c r="N45" s="10"/>
      <c r="O45" s="10"/>
      <c r="P45" s="91" t="s">
        <v>604</v>
      </c>
      <c r="Q45" s="10" t="s">
        <v>418</v>
      </c>
    </row>
    <row r="46" spans="2:17" ht="132" hidden="1" x14ac:dyDescent="0.25">
      <c r="B46" s="86">
        <v>43</v>
      </c>
      <c r="C46" s="6" t="s">
        <v>117</v>
      </c>
      <c r="D46" s="88" t="s">
        <v>392</v>
      </c>
      <c r="E46" s="90" t="s">
        <v>486</v>
      </c>
      <c r="F46" s="90" t="s">
        <v>487</v>
      </c>
      <c r="G46" s="102">
        <v>397410146</v>
      </c>
      <c r="H46" s="102">
        <v>299</v>
      </c>
      <c r="I46" s="102">
        <f>_xlfn.XLOOKUP(E46,'[2]Database MK'!$E$345:$E$440,'[2]Database MK'!$W$345:$W$440)</f>
        <v>0</v>
      </c>
      <c r="J46" s="103">
        <f t="shared" si="0"/>
        <v>299</v>
      </c>
      <c r="K46" s="106">
        <f t="shared" si="1"/>
        <v>0</v>
      </c>
      <c r="L46" s="106"/>
      <c r="M46" s="10" t="s">
        <v>127</v>
      </c>
      <c r="N46" s="10"/>
      <c r="O46" s="10"/>
      <c r="P46" s="91" t="s">
        <v>604</v>
      </c>
      <c r="Q46" s="10" t="s">
        <v>418</v>
      </c>
    </row>
    <row r="47" spans="2:17" ht="132" hidden="1" x14ac:dyDescent="0.25">
      <c r="B47" s="86">
        <v>44</v>
      </c>
      <c r="C47" s="6" t="s">
        <v>117</v>
      </c>
      <c r="D47" s="88" t="s">
        <v>392</v>
      </c>
      <c r="E47" s="90" t="s">
        <v>488</v>
      </c>
      <c r="F47" s="90" t="s">
        <v>489</v>
      </c>
      <c r="G47" s="102">
        <v>439784117</v>
      </c>
      <c r="H47" s="102">
        <v>308</v>
      </c>
      <c r="I47" s="102">
        <f>_xlfn.XLOOKUP(E47,'[2]Database MK'!$E$345:$E$440,'[2]Database MK'!$W$345:$W$440)</f>
        <v>0</v>
      </c>
      <c r="J47" s="103">
        <f t="shared" si="0"/>
        <v>308</v>
      </c>
      <c r="K47" s="106">
        <f t="shared" si="1"/>
        <v>0</v>
      </c>
      <c r="L47" s="106"/>
      <c r="M47" s="10" t="s">
        <v>127</v>
      </c>
      <c r="N47" s="10"/>
      <c r="O47" s="10"/>
      <c r="P47" s="91" t="s">
        <v>604</v>
      </c>
      <c r="Q47" s="10" t="s">
        <v>418</v>
      </c>
    </row>
    <row r="48" spans="2:17" ht="132" hidden="1" x14ac:dyDescent="0.25">
      <c r="B48" s="86">
        <v>45</v>
      </c>
      <c r="C48" s="6" t="s">
        <v>117</v>
      </c>
      <c r="D48" s="88" t="s">
        <v>392</v>
      </c>
      <c r="E48" s="89" t="s">
        <v>490</v>
      </c>
      <c r="F48" s="89" t="s">
        <v>491</v>
      </c>
      <c r="G48" s="102">
        <v>92727468</v>
      </c>
      <c r="H48" s="102">
        <v>50</v>
      </c>
      <c r="I48" s="102">
        <f>_xlfn.XLOOKUP(E48,'[2]Database MK'!$E$345:$E$440,'[2]Database MK'!$W$345:$W$440)</f>
        <v>0</v>
      </c>
      <c r="J48" s="103">
        <f t="shared" si="0"/>
        <v>50</v>
      </c>
      <c r="K48" s="106">
        <f t="shared" si="1"/>
        <v>0</v>
      </c>
      <c r="L48" s="106"/>
      <c r="M48" s="10" t="s">
        <v>636</v>
      </c>
      <c r="N48" s="10"/>
      <c r="O48" s="10"/>
      <c r="P48" s="91" t="s">
        <v>604</v>
      </c>
      <c r="Q48" s="10" t="s">
        <v>418</v>
      </c>
    </row>
    <row r="49" spans="2:17" ht="132" hidden="1" x14ac:dyDescent="0.25">
      <c r="B49" s="86">
        <v>46</v>
      </c>
      <c r="C49" s="6" t="s">
        <v>117</v>
      </c>
      <c r="D49" s="88" t="s">
        <v>392</v>
      </c>
      <c r="E49" s="90" t="s">
        <v>492</v>
      </c>
      <c r="F49" s="89" t="s">
        <v>493</v>
      </c>
      <c r="G49" s="102">
        <v>3977952179</v>
      </c>
      <c r="H49" s="102">
        <v>2739</v>
      </c>
      <c r="I49" s="102">
        <f>_xlfn.XLOOKUP(E49,'[2]Database MK'!$E$345:$E$440,'[2]Database MK'!$W$345:$W$440)</f>
        <v>0</v>
      </c>
      <c r="J49" s="103">
        <f t="shared" si="0"/>
        <v>2739</v>
      </c>
      <c r="K49" s="106">
        <f t="shared" si="1"/>
        <v>0</v>
      </c>
      <c r="L49" s="106"/>
      <c r="M49" s="10" t="s">
        <v>127</v>
      </c>
      <c r="N49" s="10"/>
      <c r="O49" s="10"/>
      <c r="P49" s="91" t="s">
        <v>615</v>
      </c>
      <c r="Q49" s="10" t="s">
        <v>418</v>
      </c>
    </row>
    <row r="50" spans="2:17" ht="132" hidden="1" x14ac:dyDescent="0.25">
      <c r="B50" s="86">
        <v>47</v>
      </c>
      <c r="C50" s="6" t="s">
        <v>117</v>
      </c>
      <c r="D50" s="88" t="s">
        <v>392</v>
      </c>
      <c r="E50" s="90" t="s">
        <v>494</v>
      </c>
      <c r="F50" s="89" t="s">
        <v>495</v>
      </c>
      <c r="G50" s="102">
        <v>83966978</v>
      </c>
      <c r="H50" s="102">
        <v>40</v>
      </c>
      <c r="I50" s="102">
        <v>40</v>
      </c>
      <c r="J50" s="103">
        <f t="shared" si="0"/>
        <v>0</v>
      </c>
      <c r="K50" s="106">
        <f t="shared" si="1"/>
        <v>1</v>
      </c>
      <c r="L50" s="106"/>
      <c r="M50" s="10" t="s">
        <v>14</v>
      </c>
      <c r="N50" s="10"/>
      <c r="O50" s="11" t="s">
        <v>250</v>
      </c>
      <c r="P50" s="91" t="s">
        <v>616</v>
      </c>
      <c r="Q50" s="10" t="s">
        <v>418</v>
      </c>
    </row>
    <row r="51" spans="2:17" ht="132" hidden="1" x14ac:dyDescent="0.25">
      <c r="B51" s="86">
        <v>48</v>
      </c>
      <c r="C51" s="6" t="s">
        <v>117</v>
      </c>
      <c r="D51" s="88" t="s">
        <v>392</v>
      </c>
      <c r="E51" s="90" t="s">
        <v>496</v>
      </c>
      <c r="F51" s="90" t="s">
        <v>497</v>
      </c>
      <c r="G51" s="102">
        <v>175616747</v>
      </c>
      <c r="H51" s="102">
        <v>139</v>
      </c>
      <c r="I51" s="102">
        <f>_xlfn.XLOOKUP(E51,'[2]Database MK'!$E$345:$E$440,'[2]Database MK'!$W$345:$W$440)</f>
        <v>0</v>
      </c>
      <c r="J51" s="103">
        <f t="shared" si="0"/>
        <v>139</v>
      </c>
      <c r="K51" s="106">
        <f t="shared" si="1"/>
        <v>0</v>
      </c>
      <c r="L51" s="106"/>
      <c r="M51" s="10" t="s">
        <v>127</v>
      </c>
      <c r="N51" s="10"/>
      <c r="O51" s="10"/>
      <c r="P51" s="91" t="s">
        <v>604</v>
      </c>
      <c r="Q51" s="10" t="s">
        <v>418</v>
      </c>
    </row>
    <row r="52" spans="2:17" ht="132" hidden="1" x14ac:dyDescent="0.25">
      <c r="B52" s="86">
        <v>49</v>
      </c>
      <c r="C52" s="6" t="s">
        <v>117</v>
      </c>
      <c r="D52" s="88" t="s">
        <v>392</v>
      </c>
      <c r="E52" s="90" t="s">
        <v>498</v>
      </c>
      <c r="F52" s="90" t="s">
        <v>499</v>
      </c>
      <c r="G52" s="102">
        <v>5348596655</v>
      </c>
      <c r="H52" s="102">
        <v>3239</v>
      </c>
      <c r="I52" s="102">
        <f>_xlfn.XLOOKUP(E52,'[2]Database MK'!$E$345:$E$440,'[2]Database MK'!$W$345:$W$440)</f>
        <v>0</v>
      </c>
      <c r="J52" s="103">
        <f t="shared" si="0"/>
        <v>3239</v>
      </c>
      <c r="K52" s="106">
        <f t="shared" si="1"/>
        <v>0</v>
      </c>
      <c r="L52" s="106"/>
      <c r="M52" s="10" t="s">
        <v>127</v>
      </c>
      <c r="N52" s="10"/>
      <c r="O52" s="10"/>
      <c r="P52" s="91" t="s">
        <v>615</v>
      </c>
      <c r="Q52" s="10" t="s">
        <v>406</v>
      </c>
    </row>
    <row r="53" spans="2:17" ht="132" hidden="1" x14ac:dyDescent="0.25">
      <c r="B53" s="86">
        <v>50</v>
      </c>
      <c r="C53" s="6" t="s">
        <v>117</v>
      </c>
      <c r="D53" s="88" t="s">
        <v>392</v>
      </c>
      <c r="E53" s="90" t="s">
        <v>500</v>
      </c>
      <c r="F53" s="90" t="s">
        <v>501</v>
      </c>
      <c r="G53" s="102">
        <v>52865951</v>
      </c>
      <c r="H53" s="102">
        <v>21</v>
      </c>
      <c r="I53" s="102">
        <f>_xlfn.XLOOKUP(E53,'[2]Database MK'!$E$345:$E$440,'[2]Database MK'!$W$345:$W$440)</f>
        <v>0</v>
      </c>
      <c r="J53" s="103">
        <f t="shared" si="0"/>
        <v>21</v>
      </c>
      <c r="K53" s="106">
        <f t="shared" si="1"/>
        <v>0</v>
      </c>
      <c r="L53" s="106"/>
      <c r="M53" s="10" t="s">
        <v>127</v>
      </c>
      <c r="N53" s="10"/>
      <c r="O53" s="10"/>
      <c r="P53" s="91" t="s">
        <v>626</v>
      </c>
      <c r="Q53" s="10" t="s">
        <v>418</v>
      </c>
    </row>
    <row r="54" spans="2:17" ht="132" x14ac:dyDescent="0.25">
      <c r="B54" s="86">
        <v>51</v>
      </c>
      <c r="C54" s="6" t="s">
        <v>117</v>
      </c>
      <c r="D54" s="88" t="s">
        <v>392</v>
      </c>
      <c r="E54" s="90" t="s">
        <v>502</v>
      </c>
      <c r="F54" s="90" t="s">
        <v>503</v>
      </c>
      <c r="G54" s="102">
        <v>813837557</v>
      </c>
      <c r="H54" s="102">
        <v>906</v>
      </c>
      <c r="I54" s="102">
        <f>_xlfn.XLOOKUP(E54,'[2]Database MK'!$E$345:$E$440,'[2]Database MK'!$W$345:$W$440)</f>
        <v>878</v>
      </c>
      <c r="J54" s="103">
        <f t="shared" si="0"/>
        <v>28</v>
      </c>
      <c r="K54" s="106">
        <f t="shared" si="1"/>
        <v>0.9690949227373068</v>
      </c>
      <c r="L54" s="106"/>
      <c r="M54" s="10" t="s">
        <v>50</v>
      </c>
      <c r="N54" s="10"/>
      <c r="O54" s="10"/>
      <c r="P54" s="91" t="s">
        <v>617</v>
      </c>
      <c r="Q54" s="10" t="s">
        <v>418</v>
      </c>
    </row>
    <row r="55" spans="2:17" ht="132" hidden="1" x14ac:dyDescent="0.25">
      <c r="B55" s="86">
        <v>52</v>
      </c>
      <c r="C55" s="6" t="s">
        <v>117</v>
      </c>
      <c r="D55" s="88" t="s">
        <v>392</v>
      </c>
      <c r="E55" s="90" t="s">
        <v>504</v>
      </c>
      <c r="F55" s="89" t="s">
        <v>505</v>
      </c>
      <c r="G55" s="102">
        <v>197913041</v>
      </c>
      <c r="H55" s="102">
        <v>131</v>
      </c>
      <c r="I55" s="102">
        <v>125.7</v>
      </c>
      <c r="J55" s="103">
        <f t="shared" si="0"/>
        <v>5.2999999999999972</v>
      </c>
      <c r="K55" s="106">
        <v>1</v>
      </c>
      <c r="L55" s="106"/>
      <c r="M55" s="10" t="s">
        <v>14</v>
      </c>
      <c r="N55" s="10"/>
      <c r="O55" s="11" t="s">
        <v>250</v>
      </c>
      <c r="P55" s="91" t="s">
        <v>618</v>
      </c>
      <c r="Q55" s="10" t="s">
        <v>418</v>
      </c>
    </row>
    <row r="56" spans="2:17" ht="154" hidden="1" x14ac:dyDescent="0.25">
      <c r="B56" s="86">
        <v>53</v>
      </c>
      <c r="C56" s="6" t="s">
        <v>117</v>
      </c>
      <c r="D56" s="88" t="s">
        <v>392</v>
      </c>
      <c r="E56" s="90" t="s">
        <v>506</v>
      </c>
      <c r="F56" s="90" t="s">
        <v>507</v>
      </c>
      <c r="G56" s="102">
        <v>1008199980</v>
      </c>
      <c r="H56" s="102">
        <v>726</v>
      </c>
      <c r="I56" s="102">
        <f>_xlfn.XLOOKUP(E56,'[2]Database MK'!$E$345:$E$440,'[2]Database MK'!$W$345:$W$440)</f>
        <v>424</v>
      </c>
      <c r="J56" s="103">
        <f t="shared" si="0"/>
        <v>302</v>
      </c>
      <c r="K56" s="106">
        <v>1</v>
      </c>
      <c r="L56" s="106"/>
      <c r="M56" s="10" t="s">
        <v>602</v>
      </c>
      <c r="N56" s="10"/>
      <c r="O56" s="11" t="s">
        <v>633</v>
      </c>
      <c r="P56" s="91" t="s">
        <v>634</v>
      </c>
      <c r="Q56" s="10" t="s">
        <v>406</v>
      </c>
    </row>
    <row r="57" spans="2:17" ht="132" hidden="1" x14ac:dyDescent="0.25">
      <c r="B57" s="86">
        <v>54</v>
      </c>
      <c r="C57" s="6" t="s">
        <v>117</v>
      </c>
      <c r="D57" s="88" t="s">
        <v>392</v>
      </c>
      <c r="E57" s="90" t="s">
        <v>508</v>
      </c>
      <c r="F57" s="90" t="s">
        <v>509</v>
      </c>
      <c r="G57" s="102">
        <v>1011338357</v>
      </c>
      <c r="H57" s="102">
        <v>692</v>
      </c>
      <c r="I57" s="102">
        <f>_xlfn.XLOOKUP(E57,'[2]Database MK'!$E$345:$E$440,'[2]Database MK'!$W$345:$W$440)</f>
        <v>400</v>
      </c>
      <c r="J57" s="103">
        <f t="shared" si="0"/>
        <v>292</v>
      </c>
      <c r="K57" s="106">
        <f t="shared" si="1"/>
        <v>0.5780346820809249</v>
      </c>
      <c r="L57" s="106"/>
      <c r="M57" s="10" t="s">
        <v>602</v>
      </c>
      <c r="N57" s="10"/>
      <c r="O57" s="10"/>
      <c r="P57" s="91" t="s">
        <v>604</v>
      </c>
      <c r="Q57" s="10" t="s">
        <v>406</v>
      </c>
    </row>
    <row r="58" spans="2:17" ht="132" hidden="1" x14ac:dyDescent="0.25">
      <c r="B58" s="86">
        <v>55</v>
      </c>
      <c r="C58" s="6" t="s">
        <v>117</v>
      </c>
      <c r="D58" s="88" t="s">
        <v>392</v>
      </c>
      <c r="E58" s="90" t="s">
        <v>510</v>
      </c>
      <c r="F58" s="90" t="s">
        <v>511</v>
      </c>
      <c r="G58" s="102">
        <v>143518985</v>
      </c>
      <c r="H58" s="102">
        <v>144</v>
      </c>
      <c r="I58" s="102">
        <f>_xlfn.XLOOKUP(E58,'[2]Database MK'!$E$345:$E$440,'[2]Database MK'!$W$345:$W$440)</f>
        <v>0</v>
      </c>
      <c r="J58" s="103">
        <f t="shared" si="0"/>
        <v>144</v>
      </c>
      <c r="K58" s="106">
        <f t="shared" si="1"/>
        <v>0</v>
      </c>
      <c r="L58" s="106"/>
      <c r="M58" s="10" t="s">
        <v>127</v>
      </c>
      <c r="N58" s="10"/>
      <c r="O58" s="10"/>
      <c r="P58" s="91" t="s">
        <v>604</v>
      </c>
      <c r="Q58" s="10" t="s">
        <v>406</v>
      </c>
    </row>
    <row r="59" spans="2:17" ht="132" x14ac:dyDescent="0.25">
      <c r="B59" s="86">
        <v>56</v>
      </c>
      <c r="C59" s="6" t="s">
        <v>117</v>
      </c>
      <c r="D59" s="88" t="s">
        <v>392</v>
      </c>
      <c r="E59" s="90" t="s">
        <v>512</v>
      </c>
      <c r="F59" s="90" t="s">
        <v>513</v>
      </c>
      <c r="G59" s="102">
        <v>3781807025</v>
      </c>
      <c r="H59" s="102">
        <v>738</v>
      </c>
      <c r="I59" s="102">
        <f>_xlfn.XLOOKUP(E59,'[2]Database MK'!$E$345:$E$440,'[2]Database MK'!$W$345:$W$440)</f>
        <v>575</v>
      </c>
      <c r="J59" s="103">
        <f t="shared" si="0"/>
        <v>163</v>
      </c>
      <c r="K59" s="106">
        <f t="shared" si="1"/>
        <v>0.77913279132791324</v>
      </c>
      <c r="L59" s="106"/>
      <c r="M59" s="10" t="s">
        <v>50</v>
      </c>
      <c r="N59" s="10"/>
      <c r="O59" s="10"/>
      <c r="P59" s="91" t="s">
        <v>617</v>
      </c>
      <c r="Q59" s="10" t="s">
        <v>406</v>
      </c>
    </row>
    <row r="60" spans="2:17" ht="132" hidden="1" x14ac:dyDescent="0.25">
      <c r="B60" s="86">
        <v>57</v>
      </c>
      <c r="C60" s="6" t="s">
        <v>191</v>
      </c>
      <c r="D60" s="88" t="s">
        <v>407</v>
      </c>
      <c r="E60" s="90" t="s">
        <v>514</v>
      </c>
      <c r="F60" s="89" t="s">
        <v>515</v>
      </c>
      <c r="G60" s="102">
        <v>7715694400</v>
      </c>
      <c r="H60" s="102">
        <v>2073</v>
      </c>
      <c r="I60" s="102">
        <f>_xlfn.XLOOKUP(E60,'[2]Database MK'!$E$345:$E$440,'[2]Database MK'!$W$345:$W$440)</f>
        <v>0</v>
      </c>
      <c r="J60" s="103">
        <f t="shared" si="0"/>
        <v>2073</v>
      </c>
      <c r="K60" s="106">
        <f t="shared" si="1"/>
        <v>0</v>
      </c>
      <c r="L60" s="106"/>
      <c r="M60" s="10" t="s">
        <v>127</v>
      </c>
      <c r="N60" s="10"/>
      <c r="O60" s="11" t="s">
        <v>643</v>
      </c>
      <c r="P60" s="91" t="s">
        <v>627</v>
      </c>
      <c r="Q60" s="10" t="s">
        <v>516</v>
      </c>
    </row>
    <row r="61" spans="2:17" ht="132" hidden="1" x14ac:dyDescent="0.25">
      <c r="B61" s="86">
        <v>58</v>
      </c>
      <c r="C61" s="6" t="s">
        <v>191</v>
      </c>
      <c r="D61" s="88" t="s">
        <v>407</v>
      </c>
      <c r="E61" s="90" t="s">
        <v>517</v>
      </c>
      <c r="F61" s="89" t="s">
        <v>518</v>
      </c>
      <c r="G61" s="102">
        <v>14840782090</v>
      </c>
      <c r="H61" s="102">
        <v>2605</v>
      </c>
      <c r="I61" s="102">
        <f>_xlfn.XLOOKUP(E61,'[2]Database MK'!$E$345:$E$440,'[2]Database MK'!$W$345:$W$440)</f>
        <v>0</v>
      </c>
      <c r="J61" s="103">
        <f t="shared" si="0"/>
        <v>2605</v>
      </c>
      <c r="K61" s="106">
        <f t="shared" si="1"/>
        <v>0</v>
      </c>
      <c r="L61" s="106"/>
      <c r="M61" s="10" t="s">
        <v>127</v>
      </c>
      <c r="N61" s="10"/>
      <c r="O61" s="11" t="s">
        <v>642</v>
      </c>
      <c r="P61" s="91" t="s">
        <v>628</v>
      </c>
      <c r="Q61" s="10" t="s">
        <v>516</v>
      </c>
    </row>
    <row r="62" spans="2:17" ht="132" hidden="1" x14ac:dyDescent="0.25">
      <c r="B62" s="86">
        <v>59</v>
      </c>
      <c r="C62" s="6" t="s">
        <v>191</v>
      </c>
      <c r="D62" s="88" t="s">
        <v>392</v>
      </c>
      <c r="E62" s="90" t="s">
        <v>519</v>
      </c>
      <c r="F62" s="89" t="s">
        <v>520</v>
      </c>
      <c r="G62" s="102">
        <v>12651074528</v>
      </c>
      <c r="H62" s="102">
        <v>9025</v>
      </c>
      <c r="I62" s="102">
        <f>_xlfn.XLOOKUP(E62,'[2]Database MK'!$E$345:$E$440,'[2]Database MK'!$W$345:$W$440)</f>
        <v>0</v>
      </c>
      <c r="J62" s="103">
        <f t="shared" si="0"/>
        <v>9025</v>
      </c>
      <c r="K62" s="106">
        <f t="shared" si="1"/>
        <v>0</v>
      </c>
      <c r="L62" s="106"/>
      <c r="M62" s="10" t="s">
        <v>127</v>
      </c>
      <c r="N62" s="10"/>
      <c r="O62" s="11"/>
      <c r="P62" s="91" t="s">
        <v>619</v>
      </c>
      <c r="Q62" s="10" t="s">
        <v>516</v>
      </c>
    </row>
    <row r="63" spans="2:17" ht="132" hidden="1" x14ac:dyDescent="0.25">
      <c r="B63" s="86">
        <v>60</v>
      </c>
      <c r="C63" s="6" t="s">
        <v>191</v>
      </c>
      <c r="D63" s="88" t="s">
        <v>392</v>
      </c>
      <c r="E63" s="90" t="s">
        <v>521</v>
      </c>
      <c r="F63" s="89" t="s">
        <v>522</v>
      </c>
      <c r="G63" s="102">
        <v>10857149703</v>
      </c>
      <c r="H63" s="102">
        <v>7481</v>
      </c>
      <c r="I63" s="102">
        <f>_xlfn.XLOOKUP(E63,'[2]Database MK'!$E$345:$E$440,'[2]Database MK'!$W$345:$W$440)</f>
        <v>0</v>
      </c>
      <c r="J63" s="103">
        <f t="shared" si="0"/>
        <v>7481</v>
      </c>
      <c r="K63" s="106">
        <f t="shared" si="1"/>
        <v>0</v>
      </c>
      <c r="L63" s="106"/>
      <c r="M63" s="10" t="s">
        <v>127</v>
      </c>
      <c r="N63" s="10"/>
      <c r="O63" s="11"/>
      <c r="P63" s="91" t="s">
        <v>619</v>
      </c>
      <c r="Q63" s="10" t="s">
        <v>516</v>
      </c>
    </row>
    <row r="64" spans="2:17" ht="132" hidden="1" x14ac:dyDescent="0.25">
      <c r="B64" s="86">
        <v>61</v>
      </c>
      <c r="C64" s="6" t="s">
        <v>191</v>
      </c>
      <c r="D64" s="88" t="s">
        <v>392</v>
      </c>
      <c r="E64" s="90" t="s">
        <v>523</v>
      </c>
      <c r="F64" s="89" t="s">
        <v>524</v>
      </c>
      <c r="G64" s="102">
        <v>20533334817</v>
      </c>
      <c r="H64" s="102">
        <v>13619</v>
      </c>
      <c r="I64" s="102">
        <f>_xlfn.XLOOKUP(E64,'[2]Database MK'!$E$345:$E$440,'[2]Database MK'!$W$345:$W$440)</f>
        <v>0</v>
      </c>
      <c r="J64" s="103">
        <f t="shared" si="0"/>
        <v>13619</v>
      </c>
      <c r="K64" s="106">
        <f t="shared" si="1"/>
        <v>0</v>
      </c>
      <c r="L64" s="106"/>
      <c r="M64" s="10" t="s">
        <v>127</v>
      </c>
      <c r="N64" s="10"/>
      <c r="O64" s="11"/>
      <c r="P64" s="91" t="s">
        <v>619</v>
      </c>
      <c r="Q64" s="10" t="s">
        <v>516</v>
      </c>
    </row>
    <row r="65" spans="2:17" ht="132" hidden="1" x14ac:dyDescent="0.25">
      <c r="B65" s="86">
        <v>62</v>
      </c>
      <c r="C65" s="6" t="s">
        <v>191</v>
      </c>
      <c r="D65" s="88" t="s">
        <v>392</v>
      </c>
      <c r="E65" s="90" t="s">
        <v>525</v>
      </c>
      <c r="F65" s="89" t="s">
        <v>526</v>
      </c>
      <c r="G65" s="102">
        <v>18660886051</v>
      </c>
      <c r="H65" s="102">
        <v>13978</v>
      </c>
      <c r="I65" s="102">
        <f>_xlfn.XLOOKUP(E65,'[2]Database MK'!$E$345:$E$440,'[2]Database MK'!$W$345:$W$440)</f>
        <v>0</v>
      </c>
      <c r="J65" s="103">
        <f t="shared" si="0"/>
        <v>13978</v>
      </c>
      <c r="K65" s="106">
        <f t="shared" si="1"/>
        <v>0</v>
      </c>
      <c r="L65" s="106"/>
      <c r="M65" s="10" t="s">
        <v>127</v>
      </c>
      <c r="N65" s="10"/>
      <c r="O65" s="11"/>
      <c r="P65" s="91" t="s">
        <v>619</v>
      </c>
      <c r="Q65" s="10" t="s">
        <v>516</v>
      </c>
    </row>
    <row r="66" spans="2:17" ht="132" hidden="1" x14ac:dyDescent="0.25">
      <c r="B66" s="86">
        <v>63</v>
      </c>
      <c r="C66" s="6" t="s">
        <v>191</v>
      </c>
      <c r="D66" s="88" t="s">
        <v>392</v>
      </c>
      <c r="E66" s="90" t="s">
        <v>527</v>
      </c>
      <c r="F66" s="89" t="s">
        <v>528</v>
      </c>
      <c r="G66" s="102">
        <v>28000944515</v>
      </c>
      <c r="H66" s="102">
        <v>19712</v>
      </c>
      <c r="I66" s="102">
        <f>_xlfn.XLOOKUP(E66,'[2]Database MK'!$E$345:$E$440,'[2]Database MK'!$W$345:$W$440)</f>
        <v>1164</v>
      </c>
      <c r="J66" s="103">
        <f t="shared" si="0"/>
        <v>18548</v>
      </c>
      <c r="K66" s="106">
        <f t="shared" si="1"/>
        <v>5.9050324675324672E-2</v>
      </c>
      <c r="L66" s="106"/>
      <c r="M66" s="10" t="s">
        <v>127</v>
      </c>
      <c r="N66" s="10"/>
      <c r="O66" s="11"/>
      <c r="P66" s="91" t="s">
        <v>619</v>
      </c>
      <c r="Q66" s="10" t="s">
        <v>516</v>
      </c>
    </row>
    <row r="67" spans="2:17" ht="132" hidden="1" x14ac:dyDescent="0.25">
      <c r="B67" s="86">
        <v>64</v>
      </c>
      <c r="C67" s="6" t="s">
        <v>191</v>
      </c>
      <c r="D67" s="88" t="s">
        <v>392</v>
      </c>
      <c r="E67" s="90" t="s">
        <v>529</v>
      </c>
      <c r="F67" s="89" t="s">
        <v>530</v>
      </c>
      <c r="G67" s="102">
        <v>7278372870</v>
      </c>
      <c r="H67" s="102">
        <v>5217</v>
      </c>
      <c r="I67" s="102">
        <f>_xlfn.XLOOKUP(E67,'[2]Database MK'!$E$345:$E$440,'[2]Database MK'!$W$345:$W$440)</f>
        <v>267</v>
      </c>
      <c r="J67" s="103">
        <f t="shared" si="0"/>
        <v>4950</v>
      </c>
      <c r="K67" s="106">
        <f t="shared" si="1"/>
        <v>5.1178838412880963E-2</v>
      </c>
      <c r="L67" s="106"/>
      <c r="M67" s="10" t="s">
        <v>127</v>
      </c>
      <c r="N67" s="10"/>
      <c r="O67" s="11"/>
      <c r="P67" s="91" t="s">
        <v>619</v>
      </c>
      <c r="Q67" s="10" t="s">
        <v>516</v>
      </c>
    </row>
    <row r="68" spans="2:17" ht="132" hidden="1" x14ac:dyDescent="0.25">
      <c r="B68" s="86">
        <v>65</v>
      </c>
      <c r="C68" s="6" t="s">
        <v>191</v>
      </c>
      <c r="D68" s="88" t="s">
        <v>392</v>
      </c>
      <c r="E68" s="90" t="s">
        <v>531</v>
      </c>
      <c r="F68" s="89" t="s">
        <v>532</v>
      </c>
      <c r="G68" s="102">
        <v>17581844675</v>
      </c>
      <c r="H68" s="102">
        <v>12279</v>
      </c>
      <c r="I68" s="102">
        <f>_xlfn.XLOOKUP(E68,'[2]Database MK'!$E$345:$E$440,'[2]Database MK'!$W$345:$W$440)</f>
        <v>135</v>
      </c>
      <c r="J68" s="103">
        <f t="shared" si="0"/>
        <v>12144</v>
      </c>
      <c r="K68" s="106">
        <f t="shared" si="1"/>
        <v>1.0994380649890056E-2</v>
      </c>
      <c r="L68" s="106"/>
      <c r="M68" s="10" t="s">
        <v>127</v>
      </c>
      <c r="N68" s="10"/>
      <c r="O68" s="11"/>
      <c r="P68" s="91" t="s">
        <v>619</v>
      </c>
      <c r="Q68" s="10" t="s">
        <v>516</v>
      </c>
    </row>
    <row r="69" spans="2:17" ht="132" x14ac:dyDescent="0.25">
      <c r="B69" s="86">
        <v>66</v>
      </c>
      <c r="C69" s="6" t="s">
        <v>191</v>
      </c>
      <c r="D69" s="88" t="s">
        <v>392</v>
      </c>
      <c r="E69" s="90" t="s">
        <v>533</v>
      </c>
      <c r="F69" s="89" t="s">
        <v>534</v>
      </c>
      <c r="G69" s="102">
        <v>8003246356</v>
      </c>
      <c r="H69" s="102">
        <v>5751</v>
      </c>
      <c r="I69" s="102">
        <f>_xlfn.XLOOKUP(E69,'[2]Database MK'!$E$345:$E$440,'[2]Database MK'!$W$345:$W$440)</f>
        <v>3207</v>
      </c>
      <c r="J69" s="103">
        <f t="shared" ref="J69:J99" si="2">H69-I69</f>
        <v>2544</v>
      </c>
      <c r="K69" s="106">
        <f t="shared" ref="K69:K99" si="3">I69/H69</f>
        <v>0.55764214919144495</v>
      </c>
      <c r="L69" s="106"/>
      <c r="M69" s="10" t="s">
        <v>50</v>
      </c>
      <c r="N69" s="10"/>
      <c r="O69" s="11"/>
      <c r="P69" s="91" t="s">
        <v>629</v>
      </c>
      <c r="Q69" s="10" t="s">
        <v>516</v>
      </c>
    </row>
    <row r="70" spans="2:17" ht="132" hidden="1" x14ac:dyDescent="0.25">
      <c r="B70" s="86">
        <v>67</v>
      </c>
      <c r="C70" s="6" t="s">
        <v>191</v>
      </c>
      <c r="D70" s="88" t="s">
        <v>392</v>
      </c>
      <c r="E70" s="90" t="s">
        <v>535</v>
      </c>
      <c r="F70" s="89" t="s">
        <v>536</v>
      </c>
      <c r="G70" s="102">
        <v>5041142676</v>
      </c>
      <c r="H70" s="102">
        <v>3912</v>
      </c>
      <c r="I70" s="102">
        <f>_xlfn.XLOOKUP(E70,'[2]Database MK'!$E$345:$E$440,'[2]Database MK'!$W$345:$W$440)</f>
        <v>0</v>
      </c>
      <c r="J70" s="103">
        <f t="shared" si="2"/>
        <v>3912</v>
      </c>
      <c r="K70" s="106">
        <f t="shared" si="3"/>
        <v>0</v>
      </c>
      <c r="L70" s="106"/>
      <c r="M70" s="10" t="s">
        <v>127</v>
      </c>
      <c r="N70" s="10"/>
      <c r="O70" s="11"/>
      <c r="P70" s="91" t="s">
        <v>629</v>
      </c>
      <c r="Q70" s="10" t="s">
        <v>516</v>
      </c>
    </row>
    <row r="71" spans="2:17" ht="132" x14ac:dyDescent="0.25">
      <c r="B71" s="86">
        <v>68</v>
      </c>
      <c r="C71" s="6" t="s">
        <v>191</v>
      </c>
      <c r="D71" s="88" t="s">
        <v>392</v>
      </c>
      <c r="E71" s="90" t="s">
        <v>537</v>
      </c>
      <c r="F71" s="89" t="s">
        <v>538</v>
      </c>
      <c r="G71" s="102">
        <v>73432392990</v>
      </c>
      <c r="H71" s="102">
        <v>54576</v>
      </c>
      <c r="I71" s="102">
        <f>_xlfn.XLOOKUP(E71,'[2]Database MK'!$E$345:$E$440,'[2]Database MK'!$W$345:$W$440)</f>
        <v>300</v>
      </c>
      <c r="J71" s="103">
        <f t="shared" si="2"/>
        <v>54276</v>
      </c>
      <c r="K71" s="106">
        <f t="shared" si="3"/>
        <v>5.4969217238346529E-3</v>
      </c>
      <c r="L71" s="106"/>
      <c r="M71" s="10" t="s">
        <v>50</v>
      </c>
      <c r="N71" s="10"/>
      <c r="O71" s="11"/>
      <c r="P71" s="91" t="s">
        <v>619</v>
      </c>
      <c r="Q71" s="10" t="s">
        <v>516</v>
      </c>
    </row>
    <row r="72" spans="2:17" ht="132" hidden="1" x14ac:dyDescent="0.25">
      <c r="B72" s="86">
        <v>69</v>
      </c>
      <c r="C72" s="6" t="s">
        <v>191</v>
      </c>
      <c r="D72" s="88" t="s">
        <v>392</v>
      </c>
      <c r="E72" s="90" t="s">
        <v>539</v>
      </c>
      <c r="F72" s="90" t="s">
        <v>540</v>
      </c>
      <c r="G72" s="102">
        <v>47316244282</v>
      </c>
      <c r="H72" s="102">
        <v>39122</v>
      </c>
      <c r="I72" s="102">
        <f>_xlfn.XLOOKUP(E72,'[2]Database MK'!$E$345:$E$440,'[2]Database MK'!$W$345:$W$440)</f>
        <v>0</v>
      </c>
      <c r="J72" s="103">
        <f t="shared" si="2"/>
        <v>39122</v>
      </c>
      <c r="K72" s="106">
        <f t="shared" si="3"/>
        <v>0</v>
      </c>
      <c r="L72" s="106"/>
      <c r="M72" s="10" t="s">
        <v>127</v>
      </c>
      <c r="N72" s="10"/>
      <c r="O72" s="10"/>
      <c r="P72" s="91" t="s">
        <v>609</v>
      </c>
      <c r="Q72" s="10" t="s">
        <v>406</v>
      </c>
    </row>
    <row r="73" spans="2:17" ht="132" x14ac:dyDescent="0.25">
      <c r="B73" s="86">
        <v>70</v>
      </c>
      <c r="C73" s="6" t="s">
        <v>191</v>
      </c>
      <c r="D73" s="88" t="s">
        <v>392</v>
      </c>
      <c r="E73" s="90" t="s">
        <v>541</v>
      </c>
      <c r="F73" s="90" t="s">
        <v>542</v>
      </c>
      <c r="G73" s="102">
        <v>1004532495</v>
      </c>
      <c r="H73" s="102">
        <v>672</v>
      </c>
      <c r="I73" s="102">
        <f>_xlfn.XLOOKUP(E73,'[2]Database MK'!$E$345:$E$440,'[2]Database MK'!$W$345:$W$440)</f>
        <v>420</v>
      </c>
      <c r="J73" s="103">
        <f t="shared" si="2"/>
        <v>252</v>
      </c>
      <c r="K73" s="106">
        <f t="shared" si="3"/>
        <v>0.625</v>
      </c>
      <c r="L73" s="106"/>
      <c r="M73" s="10" t="s">
        <v>50</v>
      </c>
      <c r="N73" s="10"/>
      <c r="O73" s="10"/>
      <c r="P73" s="91" t="s">
        <v>604</v>
      </c>
      <c r="Q73" s="10" t="s">
        <v>429</v>
      </c>
    </row>
    <row r="74" spans="2:17" ht="132" hidden="1" x14ac:dyDescent="0.25">
      <c r="B74" s="86">
        <v>71</v>
      </c>
      <c r="C74" s="6" t="s">
        <v>191</v>
      </c>
      <c r="D74" s="88" t="s">
        <v>392</v>
      </c>
      <c r="E74" s="90" t="s">
        <v>543</v>
      </c>
      <c r="F74" s="90" t="s">
        <v>544</v>
      </c>
      <c r="G74" s="102">
        <v>4255561145</v>
      </c>
      <c r="H74" s="102">
        <v>2372</v>
      </c>
      <c r="I74" s="102">
        <f>_xlfn.XLOOKUP(E74,'[2]Database MK'!$E$345:$E$440,'[2]Database MK'!$W$345:$W$440)</f>
        <v>0</v>
      </c>
      <c r="J74" s="103">
        <f t="shared" si="2"/>
        <v>2372</v>
      </c>
      <c r="K74" s="106">
        <f t="shared" si="3"/>
        <v>0</v>
      </c>
      <c r="L74" s="106"/>
      <c r="M74" s="10" t="s">
        <v>127</v>
      </c>
      <c r="N74" s="10"/>
      <c r="O74" s="10"/>
      <c r="P74" s="91" t="s">
        <v>611</v>
      </c>
      <c r="Q74" s="10" t="s">
        <v>429</v>
      </c>
    </row>
    <row r="75" spans="2:17" ht="132" hidden="1" x14ac:dyDescent="0.25">
      <c r="B75" s="86">
        <v>72</v>
      </c>
      <c r="C75" s="6" t="s">
        <v>191</v>
      </c>
      <c r="D75" s="88" t="s">
        <v>392</v>
      </c>
      <c r="E75" s="90" t="s">
        <v>545</v>
      </c>
      <c r="F75" s="90" t="s">
        <v>546</v>
      </c>
      <c r="G75" s="102">
        <v>385729318</v>
      </c>
      <c r="H75" s="102">
        <v>189</v>
      </c>
      <c r="I75" s="102">
        <f>_xlfn.XLOOKUP(E75,'[2]Database MK'!$E$345:$E$440,'[2]Database MK'!$W$345:$W$440)</f>
        <v>0</v>
      </c>
      <c r="J75" s="103">
        <f t="shared" si="2"/>
        <v>189</v>
      </c>
      <c r="K75" s="106">
        <f t="shared" si="3"/>
        <v>0</v>
      </c>
      <c r="L75" s="106"/>
      <c r="M75" s="10" t="s">
        <v>127</v>
      </c>
      <c r="N75" s="10"/>
      <c r="O75" s="10"/>
      <c r="P75" s="91" t="s">
        <v>604</v>
      </c>
      <c r="Q75" s="10" t="s">
        <v>429</v>
      </c>
    </row>
    <row r="76" spans="2:17" ht="132" hidden="1" x14ac:dyDescent="0.25">
      <c r="B76" s="86">
        <v>73</v>
      </c>
      <c r="C76" s="6" t="s">
        <v>191</v>
      </c>
      <c r="D76" s="88" t="s">
        <v>392</v>
      </c>
      <c r="E76" s="90" t="s">
        <v>547</v>
      </c>
      <c r="F76" s="90" t="s">
        <v>548</v>
      </c>
      <c r="G76" s="102">
        <v>71127431</v>
      </c>
      <c r="H76" s="102">
        <v>45</v>
      </c>
      <c r="I76" s="102">
        <f>_xlfn.XLOOKUP(E76,'[2]Database MK'!$E$345:$E$440,'[2]Database MK'!$W$345:$W$440)</f>
        <v>0</v>
      </c>
      <c r="J76" s="103">
        <f t="shared" si="2"/>
        <v>45</v>
      </c>
      <c r="K76" s="106">
        <f t="shared" si="3"/>
        <v>0</v>
      </c>
      <c r="L76" s="106"/>
      <c r="M76" s="10" t="s">
        <v>127</v>
      </c>
      <c r="N76" s="10"/>
      <c r="O76" s="10"/>
      <c r="P76" s="91" t="s">
        <v>630</v>
      </c>
      <c r="Q76" s="10" t="s">
        <v>429</v>
      </c>
    </row>
    <row r="77" spans="2:17" ht="132" hidden="1" x14ac:dyDescent="0.25">
      <c r="B77" s="86">
        <v>74</v>
      </c>
      <c r="C77" s="6" t="s">
        <v>191</v>
      </c>
      <c r="D77" s="88" t="s">
        <v>392</v>
      </c>
      <c r="E77" s="90" t="s">
        <v>549</v>
      </c>
      <c r="F77" s="90" t="s">
        <v>550</v>
      </c>
      <c r="G77" s="102">
        <v>67754692</v>
      </c>
      <c r="H77" s="102">
        <v>38</v>
      </c>
      <c r="I77" s="102">
        <f>_xlfn.XLOOKUP(E77,'[2]Database MK'!$E$345:$E$440,'[2]Database MK'!$W$345:$W$440)</f>
        <v>0</v>
      </c>
      <c r="J77" s="103">
        <f t="shared" si="2"/>
        <v>38</v>
      </c>
      <c r="K77" s="106">
        <f t="shared" si="3"/>
        <v>0</v>
      </c>
      <c r="L77" s="106"/>
      <c r="M77" s="10" t="s">
        <v>127</v>
      </c>
      <c r="N77" s="10"/>
      <c r="O77" s="10"/>
      <c r="P77" s="91" t="s">
        <v>631</v>
      </c>
      <c r="Q77" s="10" t="s">
        <v>429</v>
      </c>
    </row>
    <row r="78" spans="2:17" ht="154" hidden="1" x14ac:dyDescent="0.25">
      <c r="B78" s="86">
        <v>75</v>
      </c>
      <c r="C78" s="6" t="s">
        <v>191</v>
      </c>
      <c r="D78" s="88" t="s">
        <v>392</v>
      </c>
      <c r="E78" s="90" t="s">
        <v>551</v>
      </c>
      <c r="F78" s="89" t="s">
        <v>552</v>
      </c>
      <c r="G78" s="102">
        <v>197739742</v>
      </c>
      <c r="H78" s="102">
        <v>132</v>
      </c>
      <c r="I78" s="102">
        <f>_xlfn.XLOOKUP(E78,'[2]Database MK'!$E$345:$E$440,'[2]Database MK'!$W$345:$W$440)</f>
        <v>0</v>
      </c>
      <c r="J78" s="103">
        <f t="shared" si="2"/>
        <v>132</v>
      </c>
      <c r="K78" s="106">
        <f t="shared" si="3"/>
        <v>0</v>
      </c>
      <c r="L78" s="106"/>
      <c r="M78" s="10" t="s">
        <v>127</v>
      </c>
      <c r="N78" s="10"/>
      <c r="O78" s="10"/>
      <c r="P78" s="91" t="s">
        <v>632</v>
      </c>
      <c r="Q78" s="10" t="s">
        <v>429</v>
      </c>
    </row>
    <row r="79" spans="2:17" ht="132" hidden="1" x14ac:dyDescent="0.25">
      <c r="B79" s="86">
        <v>76</v>
      </c>
      <c r="C79" s="6" t="s">
        <v>191</v>
      </c>
      <c r="D79" s="88" t="s">
        <v>392</v>
      </c>
      <c r="E79" s="90" t="s">
        <v>553</v>
      </c>
      <c r="F79" s="89" t="s">
        <v>554</v>
      </c>
      <c r="G79" s="102">
        <v>51917452</v>
      </c>
      <c r="H79" s="102">
        <v>24</v>
      </c>
      <c r="I79" s="102">
        <f>_xlfn.XLOOKUP(E79,'[2]Database MK'!$E$345:$E$440,'[2]Database MK'!$W$345:$W$440)</f>
        <v>0</v>
      </c>
      <c r="J79" s="103">
        <f t="shared" si="2"/>
        <v>24</v>
      </c>
      <c r="K79" s="106">
        <f t="shared" si="3"/>
        <v>0</v>
      </c>
      <c r="L79" s="106"/>
      <c r="M79" s="10" t="s">
        <v>127</v>
      </c>
      <c r="N79" s="10"/>
      <c r="O79" s="10"/>
      <c r="P79" s="91" t="s">
        <v>630</v>
      </c>
      <c r="Q79" s="10" t="s">
        <v>429</v>
      </c>
    </row>
    <row r="80" spans="2:17" ht="132" hidden="1" x14ac:dyDescent="0.25">
      <c r="B80" s="86">
        <v>77</v>
      </c>
      <c r="C80" s="6" t="s">
        <v>191</v>
      </c>
      <c r="D80" s="88" t="s">
        <v>392</v>
      </c>
      <c r="E80" s="89" t="s">
        <v>555</v>
      </c>
      <c r="F80" s="89" t="s">
        <v>556</v>
      </c>
      <c r="G80" s="102">
        <v>1093554684</v>
      </c>
      <c r="H80" s="102">
        <v>936</v>
      </c>
      <c r="I80" s="102">
        <f>_xlfn.XLOOKUP(E80,'[2]Database MK'!$E$345:$E$440,'[2]Database MK'!$W$345:$W$440)</f>
        <v>0</v>
      </c>
      <c r="J80" s="103">
        <f t="shared" si="2"/>
        <v>936</v>
      </c>
      <c r="K80" s="106">
        <f t="shared" si="3"/>
        <v>0</v>
      </c>
      <c r="L80" s="106"/>
      <c r="M80" s="10" t="s">
        <v>127</v>
      </c>
      <c r="N80" s="10"/>
      <c r="O80" s="10"/>
      <c r="P80" s="91" t="s">
        <v>604</v>
      </c>
      <c r="Q80" s="10" t="s">
        <v>429</v>
      </c>
    </row>
    <row r="81" spans="2:17" ht="132" hidden="1" x14ac:dyDescent="0.25">
      <c r="B81" s="86">
        <v>78</v>
      </c>
      <c r="C81" s="6" t="s">
        <v>191</v>
      </c>
      <c r="D81" s="88" t="s">
        <v>392</v>
      </c>
      <c r="E81" s="89" t="s">
        <v>557</v>
      </c>
      <c r="F81" s="89" t="s">
        <v>558</v>
      </c>
      <c r="G81" s="102">
        <v>137246829</v>
      </c>
      <c r="H81" s="102">
        <v>120</v>
      </c>
      <c r="I81" s="102">
        <f>_xlfn.XLOOKUP(E81,'[2]Database MK'!$E$345:$E$440,'[2]Database MK'!$W$345:$W$440)</f>
        <v>0</v>
      </c>
      <c r="J81" s="103">
        <f t="shared" si="2"/>
        <v>120</v>
      </c>
      <c r="K81" s="106">
        <f t="shared" si="3"/>
        <v>0</v>
      </c>
      <c r="L81" s="106"/>
      <c r="M81" s="10" t="s">
        <v>127</v>
      </c>
      <c r="N81" s="10"/>
      <c r="O81" s="10"/>
      <c r="P81" s="91" t="s">
        <v>604</v>
      </c>
      <c r="Q81" s="10" t="s">
        <v>429</v>
      </c>
    </row>
    <row r="82" spans="2:17" ht="132" hidden="1" x14ac:dyDescent="0.25">
      <c r="B82" s="93">
        <v>79</v>
      </c>
      <c r="C82" s="94" t="s">
        <v>191</v>
      </c>
      <c r="D82" s="95" t="s">
        <v>392</v>
      </c>
      <c r="E82" s="96" t="s">
        <v>559</v>
      </c>
      <c r="F82" s="96" t="s">
        <v>560</v>
      </c>
      <c r="G82" s="111">
        <v>3319683131</v>
      </c>
      <c r="H82" s="111">
        <v>1037</v>
      </c>
      <c r="I82" s="111">
        <v>0</v>
      </c>
      <c r="J82" s="103">
        <f t="shared" si="2"/>
        <v>1037</v>
      </c>
      <c r="K82" s="112">
        <f t="shared" si="3"/>
        <v>0</v>
      </c>
      <c r="L82" s="112"/>
      <c r="M82" s="100" t="s">
        <v>682</v>
      </c>
      <c r="N82" s="100"/>
      <c r="O82" s="100"/>
      <c r="P82" s="91" t="s">
        <v>613</v>
      </c>
      <c r="Q82" s="98"/>
    </row>
    <row r="83" spans="2:17" ht="132" x14ac:dyDescent="0.25">
      <c r="B83" s="86">
        <v>80</v>
      </c>
      <c r="C83" s="6" t="s">
        <v>191</v>
      </c>
      <c r="D83" s="88" t="s">
        <v>392</v>
      </c>
      <c r="E83" s="89" t="s">
        <v>561</v>
      </c>
      <c r="F83" s="89" t="s">
        <v>562</v>
      </c>
      <c r="G83" s="102">
        <v>680809147</v>
      </c>
      <c r="H83" s="102">
        <v>571</v>
      </c>
      <c r="I83" s="102">
        <f>_xlfn.XLOOKUP(E83,'[2]Database MK'!$E$345:$E$440,'[2]Database MK'!$W$345:$W$440)</f>
        <v>682</v>
      </c>
      <c r="J83" s="103">
        <f t="shared" si="2"/>
        <v>-111</v>
      </c>
      <c r="K83" s="106">
        <f t="shared" si="3"/>
        <v>1.1943957968476357</v>
      </c>
      <c r="L83" s="106"/>
      <c r="M83" s="10" t="s">
        <v>50</v>
      </c>
      <c r="N83" s="10"/>
      <c r="O83" s="10"/>
      <c r="P83" s="91" t="s">
        <v>604</v>
      </c>
      <c r="Q83" s="10" t="s">
        <v>406</v>
      </c>
    </row>
    <row r="84" spans="2:17" ht="132" x14ac:dyDescent="0.25">
      <c r="B84" s="86">
        <v>81</v>
      </c>
      <c r="C84" s="6" t="s">
        <v>191</v>
      </c>
      <c r="D84" s="88" t="s">
        <v>392</v>
      </c>
      <c r="E84" s="89" t="s">
        <v>563</v>
      </c>
      <c r="F84" s="89" t="s">
        <v>564</v>
      </c>
      <c r="G84" s="102">
        <v>2324343476</v>
      </c>
      <c r="H84" s="102">
        <v>1865</v>
      </c>
      <c r="I84" s="102">
        <f>_xlfn.XLOOKUP(E84,'[2]Database MK'!$E$345:$E$440,'[2]Database MK'!$W$345:$W$440)</f>
        <v>1578</v>
      </c>
      <c r="J84" s="103">
        <f t="shared" si="2"/>
        <v>287</v>
      </c>
      <c r="K84" s="106">
        <f t="shared" si="3"/>
        <v>0.84611260053619308</v>
      </c>
      <c r="L84" s="106"/>
      <c r="M84" s="10" t="s">
        <v>50</v>
      </c>
      <c r="N84" s="10"/>
      <c r="O84" s="10"/>
      <c r="P84" s="91" t="s">
        <v>605</v>
      </c>
      <c r="Q84" s="10" t="s">
        <v>516</v>
      </c>
    </row>
    <row r="85" spans="2:17" ht="132" hidden="1" x14ac:dyDescent="0.25">
      <c r="B85" s="86">
        <v>82</v>
      </c>
      <c r="C85" s="6" t="s">
        <v>191</v>
      </c>
      <c r="D85" s="88" t="s">
        <v>392</v>
      </c>
      <c r="E85" s="89" t="s">
        <v>565</v>
      </c>
      <c r="F85" s="89" t="s">
        <v>566</v>
      </c>
      <c r="G85" s="102">
        <v>545631617</v>
      </c>
      <c r="H85" s="102">
        <v>384</v>
      </c>
      <c r="I85" s="102">
        <f>_xlfn.XLOOKUP(E85,'[2]Database MK'!$E$345:$E$440,'[2]Database MK'!$W$345:$W$440)</f>
        <v>0</v>
      </c>
      <c r="J85" s="103">
        <f t="shared" si="2"/>
        <v>384</v>
      </c>
      <c r="K85" s="106">
        <f t="shared" si="3"/>
        <v>0</v>
      </c>
      <c r="L85" s="106"/>
      <c r="M85" s="10" t="s">
        <v>127</v>
      </c>
      <c r="N85" s="10"/>
      <c r="O85" s="10"/>
      <c r="P85" s="91" t="s">
        <v>604</v>
      </c>
      <c r="Q85" s="10" t="s">
        <v>516</v>
      </c>
    </row>
    <row r="86" spans="2:17" ht="132" hidden="1" x14ac:dyDescent="0.25">
      <c r="B86" s="86">
        <v>83</v>
      </c>
      <c r="C86" s="6" t="s">
        <v>191</v>
      </c>
      <c r="D86" s="88" t="s">
        <v>392</v>
      </c>
      <c r="E86" s="89" t="s">
        <v>567</v>
      </c>
      <c r="F86" s="89" t="s">
        <v>568</v>
      </c>
      <c r="G86" s="102">
        <v>598104818</v>
      </c>
      <c r="H86" s="102">
        <v>418</v>
      </c>
      <c r="I86" s="102">
        <f>_xlfn.XLOOKUP(E86,'[2]Database MK'!$E$345:$E$440,'[2]Database MK'!$W$345:$W$440)</f>
        <v>0</v>
      </c>
      <c r="J86" s="103">
        <f t="shared" si="2"/>
        <v>418</v>
      </c>
      <c r="K86" s="106">
        <f t="shared" si="3"/>
        <v>0</v>
      </c>
      <c r="L86" s="106"/>
      <c r="M86" s="10" t="s">
        <v>127</v>
      </c>
      <c r="N86" s="10"/>
      <c r="O86" s="10"/>
      <c r="P86" s="91" t="s">
        <v>604</v>
      </c>
      <c r="Q86" s="10" t="s">
        <v>516</v>
      </c>
    </row>
    <row r="87" spans="2:17" ht="132" hidden="1" x14ac:dyDescent="0.25">
      <c r="B87" s="86">
        <v>84</v>
      </c>
      <c r="C87" s="6" t="s">
        <v>191</v>
      </c>
      <c r="D87" s="88" t="s">
        <v>392</v>
      </c>
      <c r="E87" s="89" t="s">
        <v>569</v>
      </c>
      <c r="F87" s="89" t="s">
        <v>570</v>
      </c>
      <c r="G87" s="102">
        <v>237561186</v>
      </c>
      <c r="H87" s="102">
        <v>149</v>
      </c>
      <c r="I87" s="102">
        <f>_xlfn.XLOOKUP(E87,'[2]Database MK'!$E$345:$E$440,'[2]Database MK'!$W$345:$W$440)</f>
        <v>0</v>
      </c>
      <c r="J87" s="103">
        <f t="shared" si="2"/>
        <v>149</v>
      </c>
      <c r="K87" s="106">
        <f t="shared" si="3"/>
        <v>0</v>
      </c>
      <c r="L87" s="106"/>
      <c r="M87" s="10" t="s">
        <v>127</v>
      </c>
      <c r="N87" s="10"/>
      <c r="O87" s="10"/>
      <c r="P87" s="91" t="s">
        <v>604</v>
      </c>
      <c r="Q87" s="10" t="s">
        <v>516</v>
      </c>
    </row>
    <row r="88" spans="2:17" ht="132" hidden="1" x14ac:dyDescent="0.25">
      <c r="B88" s="86">
        <v>85</v>
      </c>
      <c r="C88" s="6" t="s">
        <v>191</v>
      </c>
      <c r="D88" s="88" t="s">
        <v>392</v>
      </c>
      <c r="E88" s="89" t="s">
        <v>571</v>
      </c>
      <c r="F88" s="89" t="s">
        <v>572</v>
      </c>
      <c r="G88" s="102">
        <v>1152177863</v>
      </c>
      <c r="H88" s="102">
        <v>1041</v>
      </c>
      <c r="I88" s="102">
        <f>_xlfn.XLOOKUP(E88,'[2]Database MK'!$E$345:$E$440,'[2]Database MK'!$W$345:$W$440)</f>
        <v>0</v>
      </c>
      <c r="J88" s="103">
        <f t="shared" si="2"/>
        <v>1041</v>
      </c>
      <c r="K88" s="106">
        <f t="shared" si="3"/>
        <v>0</v>
      </c>
      <c r="L88" s="106"/>
      <c r="M88" s="10" t="s">
        <v>127</v>
      </c>
      <c r="N88" s="10"/>
      <c r="O88" s="10"/>
      <c r="P88" s="91" t="s">
        <v>605</v>
      </c>
      <c r="Q88" s="10" t="s">
        <v>516</v>
      </c>
    </row>
    <row r="89" spans="2:17" ht="132" x14ac:dyDescent="0.25">
      <c r="B89" s="86">
        <v>86</v>
      </c>
      <c r="C89" s="6" t="s">
        <v>191</v>
      </c>
      <c r="D89" s="88" t="s">
        <v>392</v>
      </c>
      <c r="E89" s="87" t="s">
        <v>573</v>
      </c>
      <c r="F89" s="87" t="s">
        <v>574</v>
      </c>
      <c r="G89" s="102">
        <v>1008009930</v>
      </c>
      <c r="H89" s="102">
        <v>706</v>
      </c>
      <c r="I89" s="102">
        <f>_xlfn.XLOOKUP(E89,'[2]Database MK'!$E$345:$E$440,'[2]Database MK'!$W$345:$W$440)</f>
        <v>48</v>
      </c>
      <c r="J89" s="103">
        <f t="shared" si="2"/>
        <v>658</v>
      </c>
      <c r="K89" s="106">
        <f t="shared" si="3"/>
        <v>6.79886685552408E-2</v>
      </c>
      <c r="L89" s="106"/>
      <c r="M89" s="10" t="s">
        <v>50</v>
      </c>
      <c r="N89" s="10"/>
      <c r="O89" s="10"/>
      <c r="P89" s="91" t="s">
        <v>604</v>
      </c>
      <c r="Q89" s="10" t="s">
        <v>516</v>
      </c>
    </row>
    <row r="90" spans="2:17" ht="132" hidden="1" x14ac:dyDescent="0.25">
      <c r="B90" s="86">
        <v>87</v>
      </c>
      <c r="C90" s="6" t="s">
        <v>191</v>
      </c>
      <c r="D90" s="88" t="s">
        <v>392</v>
      </c>
      <c r="E90" s="87" t="s">
        <v>575</v>
      </c>
      <c r="F90" s="87" t="s">
        <v>576</v>
      </c>
      <c r="G90" s="102">
        <v>870569306</v>
      </c>
      <c r="H90" s="102">
        <v>772</v>
      </c>
      <c r="I90" s="102">
        <f>_xlfn.XLOOKUP(E90,'[2]Database MK'!$E$345:$E$440,'[2]Database MK'!$W$345:$W$440)</f>
        <v>0</v>
      </c>
      <c r="J90" s="103">
        <f t="shared" si="2"/>
        <v>772</v>
      </c>
      <c r="K90" s="106">
        <f t="shared" si="3"/>
        <v>0</v>
      </c>
      <c r="L90" s="106"/>
      <c r="M90" s="10" t="s">
        <v>127</v>
      </c>
      <c r="N90" s="10"/>
      <c r="O90" s="10"/>
      <c r="P90" s="91" t="s">
        <v>604</v>
      </c>
      <c r="Q90" s="10" t="s">
        <v>516</v>
      </c>
    </row>
    <row r="91" spans="2:17" ht="132" hidden="1" x14ac:dyDescent="0.25">
      <c r="B91" s="86">
        <v>88</v>
      </c>
      <c r="C91" s="6" t="s">
        <v>191</v>
      </c>
      <c r="D91" s="88" t="s">
        <v>392</v>
      </c>
      <c r="E91" s="87" t="s">
        <v>577</v>
      </c>
      <c r="F91" s="87" t="s">
        <v>578</v>
      </c>
      <c r="G91" s="102">
        <v>1378787051</v>
      </c>
      <c r="H91" s="102">
        <v>1126</v>
      </c>
      <c r="I91" s="102">
        <f>_xlfn.XLOOKUP(E91,'[2]Database MK'!$E$345:$E$440,'[2]Database MK'!$W$345:$W$440)</f>
        <v>0</v>
      </c>
      <c r="J91" s="103">
        <f t="shared" si="2"/>
        <v>1126</v>
      </c>
      <c r="K91" s="106">
        <f t="shared" si="3"/>
        <v>0</v>
      </c>
      <c r="L91" s="106"/>
      <c r="M91" s="10" t="s">
        <v>127</v>
      </c>
      <c r="N91" s="10"/>
      <c r="O91" s="10"/>
      <c r="P91" s="91" t="s">
        <v>605</v>
      </c>
      <c r="Q91" s="10" t="s">
        <v>516</v>
      </c>
    </row>
    <row r="92" spans="2:17" ht="132" hidden="1" x14ac:dyDescent="0.25">
      <c r="B92" s="86">
        <v>89</v>
      </c>
      <c r="C92" s="6" t="s">
        <v>191</v>
      </c>
      <c r="D92" s="88" t="s">
        <v>392</v>
      </c>
      <c r="E92" s="87" t="s">
        <v>579</v>
      </c>
      <c r="F92" s="87" t="s">
        <v>580</v>
      </c>
      <c r="G92" s="102">
        <v>296736552</v>
      </c>
      <c r="H92" s="102">
        <v>185</v>
      </c>
      <c r="I92" s="102">
        <f>_xlfn.XLOOKUP(E92,'[2]Database MK'!$E$345:$E$440,'[2]Database MK'!$W$345:$W$440)</f>
        <v>0</v>
      </c>
      <c r="J92" s="103">
        <f t="shared" si="2"/>
        <v>185</v>
      </c>
      <c r="K92" s="106">
        <f t="shared" si="3"/>
        <v>0</v>
      </c>
      <c r="L92" s="106"/>
      <c r="M92" s="10" t="s">
        <v>127</v>
      </c>
      <c r="N92" s="10"/>
      <c r="O92" s="10"/>
      <c r="P92" s="91" t="s">
        <v>604</v>
      </c>
      <c r="Q92" s="10" t="s">
        <v>429</v>
      </c>
    </row>
    <row r="93" spans="2:17" ht="132" hidden="1" x14ac:dyDescent="0.25">
      <c r="B93" s="86">
        <v>90</v>
      </c>
      <c r="C93" s="6" t="s">
        <v>191</v>
      </c>
      <c r="D93" s="88" t="s">
        <v>392</v>
      </c>
      <c r="E93" s="87" t="s">
        <v>581</v>
      </c>
      <c r="F93" s="87" t="s">
        <v>582</v>
      </c>
      <c r="G93" s="102">
        <v>1408158270</v>
      </c>
      <c r="H93" s="102">
        <v>1245</v>
      </c>
      <c r="I93" s="102">
        <f>_xlfn.XLOOKUP(E93,'[2]Database MK'!$E$345:$E$440,'[2]Database MK'!$W$345:$W$440)</f>
        <v>0</v>
      </c>
      <c r="J93" s="103">
        <f t="shared" si="2"/>
        <v>1245</v>
      </c>
      <c r="K93" s="106">
        <f t="shared" si="3"/>
        <v>0</v>
      </c>
      <c r="L93" s="106"/>
      <c r="M93" s="10" t="s">
        <v>127</v>
      </c>
      <c r="N93" s="10"/>
      <c r="O93" s="10"/>
      <c r="P93" s="91" t="s">
        <v>605</v>
      </c>
      <c r="Q93" s="10" t="s">
        <v>406</v>
      </c>
    </row>
    <row r="94" spans="2:17" ht="132" hidden="1" x14ac:dyDescent="0.25">
      <c r="B94" s="86">
        <v>91</v>
      </c>
      <c r="C94" s="6" t="s">
        <v>191</v>
      </c>
      <c r="D94" s="88" t="s">
        <v>392</v>
      </c>
      <c r="E94" s="87" t="s">
        <v>583</v>
      </c>
      <c r="F94" s="87" t="s">
        <v>584</v>
      </c>
      <c r="G94" s="102">
        <v>1092475342</v>
      </c>
      <c r="H94" s="102">
        <v>1012</v>
      </c>
      <c r="I94" s="102">
        <f>_xlfn.XLOOKUP(E94,'[2]Database MK'!$E$345:$E$440,'[2]Database MK'!$W$345:$W$440)</f>
        <v>131</v>
      </c>
      <c r="J94" s="103">
        <f t="shared" si="2"/>
        <v>881</v>
      </c>
      <c r="K94" s="106">
        <f t="shared" si="3"/>
        <v>0.12944664031620554</v>
      </c>
      <c r="L94" s="106"/>
      <c r="M94" s="10" t="s">
        <v>127</v>
      </c>
      <c r="N94" s="10"/>
      <c r="O94" s="10"/>
      <c r="P94" s="91" t="s">
        <v>605</v>
      </c>
      <c r="Q94" s="10" t="s">
        <v>406</v>
      </c>
    </row>
    <row r="95" spans="2:17" ht="132" hidden="1" x14ac:dyDescent="0.25">
      <c r="B95" s="86">
        <v>92</v>
      </c>
      <c r="C95" s="6" t="s">
        <v>191</v>
      </c>
      <c r="D95" s="88" t="s">
        <v>392</v>
      </c>
      <c r="E95" s="87" t="s">
        <v>585</v>
      </c>
      <c r="F95" s="87" t="s">
        <v>586</v>
      </c>
      <c r="G95" s="102">
        <v>228391200</v>
      </c>
      <c r="H95" s="102">
        <v>106</v>
      </c>
      <c r="I95" s="102">
        <f>_xlfn.XLOOKUP(E95,'[2]Database MK'!$E$345:$E$440,'[2]Database MK'!$W$345:$W$440)</f>
        <v>0</v>
      </c>
      <c r="J95" s="103">
        <f t="shared" si="2"/>
        <v>106</v>
      </c>
      <c r="K95" s="106">
        <f t="shared" si="3"/>
        <v>0</v>
      </c>
      <c r="L95" s="106"/>
      <c r="M95" s="10" t="s">
        <v>127</v>
      </c>
      <c r="N95" s="10"/>
      <c r="O95" s="10"/>
      <c r="P95" s="91" t="s">
        <v>604</v>
      </c>
      <c r="Q95" s="10" t="s">
        <v>406</v>
      </c>
    </row>
    <row r="96" spans="2:17" ht="132" hidden="1" x14ac:dyDescent="0.25">
      <c r="B96" s="86">
        <v>93</v>
      </c>
      <c r="C96" s="6" t="s">
        <v>191</v>
      </c>
      <c r="D96" s="88" t="s">
        <v>392</v>
      </c>
      <c r="E96" s="87" t="s">
        <v>587</v>
      </c>
      <c r="F96" s="87" t="s">
        <v>588</v>
      </c>
      <c r="G96" s="102">
        <v>188411072</v>
      </c>
      <c r="H96" s="102">
        <v>15</v>
      </c>
      <c r="I96" s="102">
        <f>_xlfn.XLOOKUP(E96,'[2]Database MK'!$E$345:$E$440,'[2]Database MK'!$W$345:$W$440)</f>
        <v>0</v>
      </c>
      <c r="J96" s="103">
        <f t="shared" si="2"/>
        <v>15</v>
      </c>
      <c r="K96" s="106">
        <f t="shared" si="3"/>
        <v>0</v>
      </c>
      <c r="L96" s="106"/>
      <c r="M96" s="10" t="s">
        <v>127</v>
      </c>
      <c r="N96" s="10"/>
      <c r="O96" s="10"/>
      <c r="P96" s="91" t="s">
        <v>604</v>
      </c>
      <c r="Q96" s="10" t="s">
        <v>429</v>
      </c>
    </row>
    <row r="97" spans="2:17" ht="132" hidden="1" x14ac:dyDescent="0.25">
      <c r="B97" s="86">
        <v>94</v>
      </c>
      <c r="C97" s="6" t="s">
        <v>191</v>
      </c>
      <c r="D97" s="88" t="s">
        <v>392</v>
      </c>
      <c r="E97" s="87" t="s">
        <v>589</v>
      </c>
      <c r="F97" s="5" t="s">
        <v>590</v>
      </c>
      <c r="G97" s="102">
        <v>63183291</v>
      </c>
      <c r="H97" s="102">
        <v>40</v>
      </c>
      <c r="I97" s="102">
        <f>_xlfn.XLOOKUP(E97,'[2]Database MK'!$E$345:$E$440,'[2]Database MK'!$W$345:$W$440)</f>
        <v>0</v>
      </c>
      <c r="J97" s="103">
        <f t="shared" si="2"/>
        <v>40</v>
      </c>
      <c r="K97" s="106">
        <f t="shared" si="3"/>
        <v>0</v>
      </c>
      <c r="L97" s="106"/>
      <c r="M97" s="10" t="s">
        <v>683</v>
      </c>
      <c r="N97" s="10"/>
      <c r="O97" s="10"/>
      <c r="P97" s="91" t="s">
        <v>620</v>
      </c>
      <c r="Q97" s="10" t="s">
        <v>429</v>
      </c>
    </row>
    <row r="98" spans="2:17" ht="132" hidden="1" x14ac:dyDescent="0.25">
      <c r="B98" s="86">
        <v>95</v>
      </c>
      <c r="C98" s="6" t="s">
        <v>191</v>
      </c>
      <c r="D98" s="88" t="s">
        <v>392</v>
      </c>
      <c r="E98" s="87" t="s">
        <v>591</v>
      </c>
      <c r="F98" s="6" t="s">
        <v>592</v>
      </c>
      <c r="G98" s="102">
        <v>346756313</v>
      </c>
      <c r="H98" s="102">
        <v>268</v>
      </c>
      <c r="I98" s="102">
        <f>_xlfn.XLOOKUP(E98,'[2]Database MK'!$E$345:$E$440,'[2]Database MK'!$W$345:$W$440)</f>
        <v>0</v>
      </c>
      <c r="J98" s="103">
        <f t="shared" si="2"/>
        <v>268</v>
      </c>
      <c r="K98" s="106">
        <f t="shared" si="3"/>
        <v>0</v>
      </c>
      <c r="L98" s="106"/>
      <c r="M98" s="10" t="s">
        <v>683</v>
      </c>
      <c r="N98" s="10"/>
      <c r="O98" s="10"/>
      <c r="P98" s="91" t="s">
        <v>620</v>
      </c>
      <c r="Q98" s="10" t="s">
        <v>429</v>
      </c>
    </row>
    <row r="99" spans="2:17" ht="132" hidden="1" x14ac:dyDescent="0.25">
      <c r="B99" s="86">
        <v>96</v>
      </c>
      <c r="C99" s="6" t="s">
        <v>191</v>
      </c>
      <c r="D99" s="88" t="s">
        <v>392</v>
      </c>
      <c r="E99" s="90" t="s">
        <v>593</v>
      </c>
      <c r="F99" s="6" t="s">
        <v>594</v>
      </c>
      <c r="G99" s="102">
        <v>432594476</v>
      </c>
      <c r="H99" s="102">
        <v>287</v>
      </c>
      <c r="I99" s="102">
        <f>_xlfn.XLOOKUP(E99,'[2]Database MK'!$E$345:$E$440,'[2]Database MK'!$W$345:$W$440)</f>
        <v>0</v>
      </c>
      <c r="J99" s="103">
        <f t="shared" si="2"/>
        <v>287</v>
      </c>
      <c r="K99" s="106">
        <f t="shared" si="3"/>
        <v>0</v>
      </c>
      <c r="L99" s="106"/>
      <c r="M99" s="10" t="s">
        <v>683</v>
      </c>
      <c r="N99" s="10"/>
      <c r="O99" s="10"/>
      <c r="P99" s="91" t="s">
        <v>620</v>
      </c>
      <c r="Q99" s="10" t="s">
        <v>429</v>
      </c>
    </row>
    <row r="100" spans="2:17" x14ac:dyDescent="0.25">
      <c r="B100" s="229" t="s">
        <v>686</v>
      </c>
      <c r="C100" s="227"/>
      <c r="D100" s="227"/>
      <c r="E100" s="227"/>
      <c r="F100" s="227"/>
      <c r="G100" s="230">
        <f>SUBTOTAL(9,G4:G99)</f>
        <v>91234918545</v>
      </c>
      <c r="H100" s="230">
        <f>SUBTOTAL(9,H4:H99)</f>
        <v>65921</v>
      </c>
      <c r="I100" s="230">
        <f>SUBTOTAL(9,I4:I99)</f>
        <v>7824</v>
      </c>
      <c r="J100" s="230">
        <f>SUBTOTAL(9,J4:J99)</f>
        <v>58097</v>
      </c>
      <c r="K100" s="231">
        <f>I100/H100</f>
        <v>0.11868751991019554</v>
      </c>
      <c r="L100" s="231"/>
      <c r="M100" s="91"/>
      <c r="N100" s="91"/>
      <c r="O100" s="11"/>
      <c r="P100" s="91"/>
      <c r="Q100" s="228"/>
    </row>
  </sheetData>
  <autoFilter ref="B3:P99" xr:uid="{D8314F27-87F3-4962-B07A-6D8569E102DA}">
    <filterColumn colId="11">
      <filters>
        <filter val="Proses Konstruksi"/>
      </filters>
    </filterColumn>
  </autoFilter>
  <pageMargins left="0.7" right="0.7" top="0.75" bottom="0.75" header="0.3" footer="0.3"/>
  <pageSetup paperSize="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36C7-5BCE-4A6E-A8A4-303C40667357}">
  <sheetPr filterMode="1"/>
  <dimension ref="B2:U29"/>
  <sheetViews>
    <sheetView zoomScale="40" zoomScaleNormal="40" workbookViewId="0">
      <pane xSplit="6" ySplit="3" topLeftCell="G8" activePane="bottomRight" state="frozen"/>
      <selection pane="topRight" activeCell="G1" sqref="G1"/>
      <selection pane="bottomLeft" activeCell="A4" sqref="A4"/>
      <selection pane="bottomRight" activeCell="N56" sqref="N56"/>
    </sheetView>
  </sheetViews>
  <sheetFormatPr baseColWidth="10" defaultColWidth="8.6640625" defaultRowHeight="15" customHeight="1" x14ac:dyDescent="0.35"/>
  <cols>
    <col min="1" max="1" width="8.6640625" style="122"/>
    <col min="2" max="2" width="9" style="123" bestFit="1" customWidth="1"/>
    <col min="3" max="3" width="27.5" style="122" customWidth="1"/>
    <col min="4" max="4" width="27.5" style="122" hidden="1" customWidth="1"/>
    <col min="5" max="5" width="27.5" style="125" hidden="1" customWidth="1"/>
    <col min="6" max="6" width="26.5" style="122" customWidth="1"/>
    <col min="7" max="7" width="44.33203125" style="122" customWidth="1"/>
    <col min="8" max="8" width="18.83203125" style="122" customWidth="1"/>
    <col min="9" max="9" width="20.83203125" style="122" customWidth="1"/>
    <col min="10" max="10" width="17.5" style="122" customWidth="1"/>
    <col min="11" max="11" width="16" style="122" customWidth="1"/>
    <col min="12" max="12" width="20.6640625" style="122" customWidth="1"/>
    <col min="13" max="13" width="23.83203125" style="122" customWidth="1"/>
    <col min="14" max="14" width="131.6640625" style="122" customWidth="1"/>
    <col min="15" max="15" width="113.33203125" style="122" customWidth="1"/>
    <col min="16" max="16" width="96" style="122" customWidth="1"/>
    <col min="17" max="17" width="30.33203125" style="122" customWidth="1"/>
    <col min="18" max="18" width="50.5" style="122" customWidth="1"/>
    <col min="19" max="20" width="26" style="122" customWidth="1"/>
    <col min="21" max="21" width="25.83203125" style="122" bestFit="1" customWidth="1"/>
    <col min="22" max="16384" width="8.6640625" style="122"/>
  </cols>
  <sheetData>
    <row r="2" spans="2:21" ht="45" customHeight="1" x14ac:dyDescent="0.35">
      <c r="C2" s="122">
        <f>SUBTOTAL(3,C4:C28)</f>
        <v>3</v>
      </c>
      <c r="H2" s="232">
        <f>SUBTOTAL(9,H4:H28)</f>
        <v>31630</v>
      </c>
      <c r="I2" s="232">
        <f>SUBTOTAL(9,I4:I28)</f>
        <v>25988.1</v>
      </c>
      <c r="J2" s="232">
        <f>SUBTOTAL(9,J4:J28)</f>
        <v>5641.9</v>
      </c>
      <c r="K2" s="233">
        <f>I2/H2</f>
        <v>0.82162820107492884</v>
      </c>
    </row>
    <row r="3" spans="2:21" ht="98.5" customHeight="1" x14ac:dyDescent="0.35">
      <c r="B3" s="124" t="s">
        <v>0</v>
      </c>
      <c r="C3" s="124" t="s">
        <v>1</v>
      </c>
      <c r="D3" s="181" t="s">
        <v>2</v>
      </c>
      <c r="E3" s="126" t="s">
        <v>3</v>
      </c>
      <c r="F3" s="124" t="s">
        <v>4</v>
      </c>
      <c r="G3" s="126" t="s">
        <v>5</v>
      </c>
      <c r="H3" s="126" t="s">
        <v>7</v>
      </c>
      <c r="I3" s="126" t="s">
        <v>8</v>
      </c>
      <c r="J3" s="126" t="s">
        <v>9</v>
      </c>
      <c r="K3" s="126" t="s">
        <v>10</v>
      </c>
      <c r="L3" s="126" t="s">
        <v>11</v>
      </c>
      <c r="M3" s="126" t="s">
        <v>6</v>
      </c>
      <c r="N3" s="126" t="s">
        <v>232</v>
      </c>
      <c r="O3" s="126" t="s">
        <v>13</v>
      </c>
      <c r="P3" s="126" t="s">
        <v>15</v>
      </c>
      <c r="Q3" s="127" t="s">
        <v>233</v>
      </c>
      <c r="R3" s="126" t="s">
        <v>234</v>
      </c>
      <c r="S3" s="126" t="s">
        <v>235</v>
      </c>
      <c r="T3" s="235"/>
    </row>
    <row r="4" spans="2:21" s="128" customFormat="1" ht="159" hidden="1" customHeight="1" x14ac:dyDescent="0.2">
      <c r="B4" s="129">
        <v>1</v>
      </c>
      <c r="C4" s="130" t="s">
        <v>236</v>
      </c>
      <c r="D4" s="182" t="s">
        <v>66</v>
      </c>
      <c r="E4" s="137" t="s">
        <v>237</v>
      </c>
      <c r="F4" s="130" t="s">
        <v>238</v>
      </c>
      <c r="G4" s="226">
        <v>12052931314</v>
      </c>
      <c r="H4" s="138">
        <v>6200</v>
      </c>
      <c r="I4" s="138">
        <v>2571</v>
      </c>
      <c r="J4" s="145"/>
      <c r="K4" s="183">
        <v>1</v>
      </c>
      <c r="L4" s="147" t="s">
        <v>74</v>
      </c>
      <c r="M4" s="147" t="s">
        <v>166</v>
      </c>
      <c r="N4" s="130" t="s">
        <v>239</v>
      </c>
      <c r="O4" s="130" t="s">
        <v>674</v>
      </c>
      <c r="P4" s="130" t="s">
        <v>677</v>
      </c>
      <c r="Q4" s="184">
        <v>46001</v>
      </c>
      <c r="R4" s="164">
        <v>45655</v>
      </c>
      <c r="S4" s="130">
        <f>R4-Q4</f>
        <v>-346</v>
      </c>
      <c r="T4" s="236"/>
      <c r="U4" s="128">
        <f t="shared" ref="U4:U23" si="0">SUBTOTAL(9,B4:P4)</f>
        <v>0</v>
      </c>
    </row>
    <row r="5" spans="2:21" s="128" customFormat="1" ht="220" hidden="1" customHeight="1" x14ac:dyDescent="0.2">
      <c r="B5" s="129">
        <v>1</v>
      </c>
      <c r="C5" s="130" t="s">
        <v>236</v>
      </c>
      <c r="D5" s="185" t="s">
        <v>66</v>
      </c>
      <c r="E5" s="137" t="s">
        <v>240</v>
      </c>
      <c r="F5" s="130" t="s">
        <v>241</v>
      </c>
      <c r="G5" s="226">
        <v>30619040271</v>
      </c>
      <c r="H5" s="138">
        <v>16606</v>
      </c>
      <c r="I5" s="138">
        <v>8710</v>
      </c>
      <c r="J5" s="145"/>
      <c r="K5" s="183">
        <v>1</v>
      </c>
      <c r="L5" s="147" t="s">
        <v>74</v>
      </c>
      <c r="M5" s="147" t="s">
        <v>14</v>
      </c>
      <c r="N5" s="130" t="s">
        <v>242</v>
      </c>
      <c r="O5" s="130" t="s">
        <v>250</v>
      </c>
      <c r="P5" s="130" t="s">
        <v>595</v>
      </c>
      <c r="Q5" s="184">
        <v>46119</v>
      </c>
      <c r="R5" s="164">
        <v>45655</v>
      </c>
      <c r="S5" s="130">
        <f t="shared" ref="S5:S28" si="1">R5-Q5</f>
        <v>-464</v>
      </c>
      <c r="T5" s="236"/>
      <c r="U5" s="128">
        <f t="shared" si="0"/>
        <v>0</v>
      </c>
    </row>
    <row r="6" spans="2:21" s="128" customFormat="1" ht="274" hidden="1" customHeight="1" x14ac:dyDescent="0.2">
      <c r="B6" s="129">
        <v>2</v>
      </c>
      <c r="C6" s="130" t="s">
        <v>236</v>
      </c>
      <c r="D6" s="185" t="s">
        <v>66</v>
      </c>
      <c r="E6" s="137" t="s">
        <v>243</v>
      </c>
      <c r="F6" s="130" t="s">
        <v>244</v>
      </c>
      <c r="G6" s="226">
        <v>43012410077</v>
      </c>
      <c r="H6" s="138">
        <v>22228</v>
      </c>
      <c r="I6" s="138">
        <v>12914</v>
      </c>
      <c r="J6" s="145"/>
      <c r="K6" s="183">
        <v>1</v>
      </c>
      <c r="L6" s="147" t="s">
        <v>74</v>
      </c>
      <c r="M6" s="147" t="s">
        <v>166</v>
      </c>
      <c r="N6" s="130" t="s">
        <v>245</v>
      </c>
      <c r="O6" s="130" t="s">
        <v>674</v>
      </c>
      <c r="P6" s="130" t="s">
        <v>677</v>
      </c>
      <c r="Q6" s="184">
        <v>46093</v>
      </c>
      <c r="R6" s="164">
        <v>45655</v>
      </c>
      <c r="S6" s="130">
        <f t="shared" si="1"/>
        <v>-438</v>
      </c>
      <c r="T6" s="236"/>
      <c r="U6" s="128">
        <f t="shared" si="0"/>
        <v>0</v>
      </c>
    </row>
    <row r="7" spans="2:21" s="128" customFormat="1" ht="161" hidden="1" customHeight="1" x14ac:dyDescent="0.2">
      <c r="B7" s="133">
        <v>1</v>
      </c>
      <c r="C7" s="134" t="s">
        <v>246</v>
      </c>
      <c r="D7" s="138" t="s">
        <v>47</v>
      </c>
      <c r="E7" s="141" t="s">
        <v>247</v>
      </c>
      <c r="F7" s="134" t="s">
        <v>248</v>
      </c>
      <c r="G7" s="226">
        <v>257573804579</v>
      </c>
      <c r="H7" s="142">
        <v>3460</v>
      </c>
      <c r="I7" s="187">
        <v>3738.5</v>
      </c>
      <c r="J7" s="145"/>
      <c r="K7" s="188">
        <v>1</v>
      </c>
      <c r="L7" s="152" t="s">
        <v>51</v>
      </c>
      <c r="M7" s="189" t="s">
        <v>14</v>
      </c>
      <c r="N7" s="190" t="s">
        <v>249</v>
      </c>
      <c r="O7" s="186" t="s">
        <v>250</v>
      </c>
      <c r="P7" s="186" t="s">
        <v>250</v>
      </c>
      <c r="Q7" s="184">
        <v>46001</v>
      </c>
      <c r="R7" s="164">
        <v>45774</v>
      </c>
      <c r="S7" s="130">
        <f t="shared" si="1"/>
        <v>-227</v>
      </c>
      <c r="T7" s="236"/>
      <c r="U7" s="128">
        <f t="shared" si="0"/>
        <v>0</v>
      </c>
    </row>
    <row r="8" spans="2:21" s="128" customFormat="1" ht="267.5" hidden="1" customHeight="1" x14ac:dyDescent="0.2">
      <c r="B8" s="129">
        <f>SUBTOTAL(3,$C$8:C8)</f>
        <v>0</v>
      </c>
      <c r="C8" s="130" t="s">
        <v>246</v>
      </c>
      <c r="D8" s="138" t="s">
        <v>47</v>
      </c>
      <c r="E8" s="130" t="s">
        <v>251</v>
      </c>
      <c r="F8" s="130" t="s">
        <v>252</v>
      </c>
      <c r="G8" s="226">
        <v>108549343103</v>
      </c>
      <c r="H8" s="138">
        <v>2000</v>
      </c>
      <c r="I8" s="138">
        <v>1868.7</v>
      </c>
      <c r="J8" s="145">
        <f t="shared" ref="J8:J28" si="2">H8-I8</f>
        <v>131.29999999999995</v>
      </c>
      <c r="K8" s="146">
        <f>I8/H8</f>
        <v>0.93435000000000001</v>
      </c>
      <c r="L8" s="147" t="s">
        <v>51</v>
      </c>
      <c r="M8" s="191" t="s">
        <v>50</v>
      </c>
      <c r="N8" s="130" t="s">
        <v>253</v>
      </c>
      <c r="O8" s="192" t="s">
        <v>692</v>
      </c>
      <c r="P8" s="192" t="s">
        <v>760</v>
      </c>
      <c r="Q8" s="171">
        <v>45866</v>
      </c>
      <c r="R8" s="171">
        <v>45774</v>
      </c>
      <c r="S8" s="172">
        <f t="shared" si="1"/>
        <v>-92</v>
      </c>
      <c r="T8" s="236" t="s">
        <v>769</v>
      </c>
      <c r="U8" s="128">
        <f t="shared" si="0"/>
        <v>0</v>
      </c>
    </row>
    <row r="9" spans="2:21" s="128" customFormat="1" ht="409.5" customHeight="1" x14ac:dyDescent="0.2">
      <c r="B9" s="129">
        <f>SUBTOTAL(3,$C$8:C9)</f>
        <v>1</v>
      </c>
      <c r="C9" s="130" t="s">
        <v>246</v>
      </c>
      <c r="D9" s="138" t="s">
        <v>47</v>
      </c>
      <c r="E9" s="130" t="s">
        <v>254</v>
      </c>
      <c r="F9" s="130" t="s">
        <v>255</v>
      </c>
      <c r="G9" s="226">
        <v>256222695433</v>
      </c>
      <c r="H9" s="138">
        <v>4922</v>
      </c>
      <c r="I9" s="138">
        <v>3874.1</v>
      </c>
      <c r="J9" s="145">
        <f t="shared" si="2"/>
        <v>1047.9000000000001</v>
      </c>
      <c r="K9" s="146">
        <f>I9/H9</f>
        <v>0.78709874034945138</v>
      </c>
      <c r="L9" s="147" t="s">
        <v>51</v>
      </c>
      <c r="M9" s="147" t="s">
        <v>50</v>
      </c>
      <c r="N9" s="193" t="s">
        <v>256</v>
      </c>
      <c r="O9" s="130" t="s">
        <v>670</v>
      </c>
      <c r="P9" s="130" t="s">
        <v>765</v>
      </c>
      <c r="Q9" s="164">
        <v>45874</v>
      </c>
      <c r="R9" s="164">
        <v>45774</v>
      </c>
      <c r="S9" s="130">
        <f t="shared" si="1"/>
        <v>-100</v>
      </c>
      <c r="T9" s="236" t="s">
        <v>770</v>
      </c>
      <c r="U9" s="128">
        <f t="shared" si="0"/>
        <v>256222705277.78711</v>
      </c>
    </row>
    <row r="10" spans="2:21" s="128" customFormat="1" ht="341.25" hidden="1" customHeight="1" x14ac:dyDescent="0.2">
      <c r="B10" s="129">
        <v>2</v>
      </c>
      <c r="C10" s="130" t="s">
        <v>246</v>
      </c>
      <c r="D10" s="138" t="s">
        <v>47</v>
      </c>
      <c r="E10" s="137" t="s">
        <v>257</v>
      </c>
      <c r="F10" s="130" t="s">
        <v>258</v>
      </c>
      <c r="G10" s="226">
        <v>24912861367</v>
      </c>
      <c r="H10" s="138">
        <v>2150</v>
      </c>
      <c r="I10" s="138">
        <v>2162.6999999999998</v>
      </c>
      <c r="J10" s="145"/>
      <c r="K10" s="183">
        <v>1</v>
      </c>
      <c r="L10" s="147" t="s">
        <v>51</v>
      </c>
      <c r="M10" s="147" t="s">
        <v>14</v>
      </c>
      <c r="N10" s="194" t="s">
        <v>259</v>
      </c>
      <c r="O10" s="186" t="s">
        <v>250</v>
      </c>
      <c r="P10" s="192" t="s">
        <v>250</v>
      </c>
      <c r="Q10" s="195">
        <v>46001</v>
      </c>
      <c r="R10" s="195">
        <v>45774</v>
      </c>
      <c r="S10" s="196">
        <f t="shared" si="1"/>
        <v>-227</v>
      </c>
      <c r="T10" s="236"/>
      <c r="U10" s="128">
        <f t="shared" si="0"/>
        <v>0</v>
      </c>
    </row>
    <row r="11" spans="2:21" s="128" customFormat="1" ht="199" hidden="1" customHeight="1" x14ac:dyDescent="0.2">
      <c r="B11" s="129">
        <f>SUBTOTAL(3,$C$8:C11)</f>
        <v>1</v>
      </c>
      <c r="C11" s="130" t="s">
        <v>246</v>
      </c>
      <c r="D11" s="138" t="s">
        <v>66</v>
      </c>
      <c r="E11" s="130" t="s">
        <v>260</v>
      </c>
      <c r="F11" s="130" t="s">
        <v>261</v>
      </c>
      <c r="G11" s="226">
        <v>13743779767</v>
      </c>
      <c r="H11" s="138">
        <v>14805</v>
      </c>
      <c r="I11" s="138">
        <v>7422</v>
      </c>
      <c r="J11" s="145">
        <f t="shared" si="2"/>
        <v>7383</v>
      </c>
      <c r="K11" s="146">
        <f>I11/H11</f>
        <v>0.5013171225937183</v>
      </c>
      <c r="L11" s="147" t="s">
        <v>173</v>
      </c>
      <c r="M11" s="147" t="s">
        <v>50</v>
      </c>
      <c r="N11" s="193" t="s">
        <v>262</v>
      </c>
      <c r="O11" s="130" t="s">
        <v>689</v>
      </c>
      <c r="P11" s="130" t="s">
        <v>747</v>
      </c>
      <c r="Q11" s="164">
        <v>45537</v>
      </c>
      <c r="R11" s="164">
        <v>45438</v>
      </c>
      <c r="S11" s="130">
        <f t="shared" si="1"/>
        <v>-99</v>
      </c>
      <c r="T11" s="236" t="s">
        <v>769</v>
      </c>
      <c r="U11" s="128">
        <f t="shared" si="0"/>
        <v>0</v>
      </c>
    </row>
    <row r="12" spans="2:21" s="128" customFormat="1" ht="226.5" hidden="1" customHeight="1" x14ac:dyDescent="0.2">
      <c r="B12" s="129">
        <f>SUBTOTAL(3,$C$8:C12)</f>
        <v>1</v>
      </c>
      <c r="C12" s="130" t="s">
        <v>246</v>
      </c>
      <c r="D12" s="138" t="s">
        <v>66</v>
      </c>
      <c r="E12" s="130" t="s">
        <v>263</v>
      </c>
      <c r="F12" s="130" t="s">
        <v>264</v>
      </c>
      <c r="G12" s="226">
        <v>15754484146</v>
      </c>
      <c r="H12" s="138">
        <v>18447</v>
      </c>
      <c r="I12" s="138">
        <v>18446</v>
      </c>
      <c r="J12" s="145"/>
      <c r="K12" s="146">
        <v>0.98</v>
      </c>
      <c r="L12" s="147" t="s">
        <v>74</v>
      </c>
      <c r="M12" s="147" t="s">
        <v>50</v>
      </c>
      <c r="N12" s="193" t="s">
        <v>265</v>
      </c>
      <c r="O12" s="130" t="s">
        <v>690</v>
      </c>
      <c r="P12" s="130" t="s">
        <v>748</v>
      </c>
      <c r="Q12" s="164">
        <v>45936</v>
      </c>
      <c r="R12" s="164">
        <v>45655</v>
      </c>
      <c r="S12" s="130">
        <f t="shared" si="1"/>
        <v>-281</v>
      </c>
      <c r="T12" s="236" t="s">
        <v>767</v>
      </c>
      <c r="U12" s="128">
        <f t="shared" si="0"/>
        <v>0</v>
      </c>
    </row>
    <row r="13" spans="2:21" s="128" customFormat="1" ht="209.5" hidden="1" customHeight="1" x14ac:dyDescent="0.2">
      <c r="B13" s="129">
        <f>SUBTOTAL(3,$C$8:C13)</f>
        <v>1</v>
      </c>
      <c r="C13" s="130" t="s">
        <v>246</v>
      </c>
      <c r="D13" s="138" t="s">
        <v>66</v>
      </c>
      <c r="E13" s="130" t="s">
        <v>266</v>
      </c>
      <c r="F13" s="130" t="s">
        <v>267</v>
      </c>
      <c r="G13" s="226">
        <v>24006962850</v>
      </c>
      <c r="H13" s="138">
        <v>27576</v>
      </c>
      <c r="I13" s="138">
        <v>28540</v>
      </c>
      <c r="J13" s="145">
        <f t="shared" si="2"/>
        <v>-964</v>
      </c>
      <c r="K13" s="146">
        <v>0.98</v>
      </c>
      <c r="L13" s="147" t="s">
        <v>74</v>
      </c>
      <c r="M13" s="147" t="s">
        <v>50</v>
      </c>
      <c r="N13" s="193" t="s">
        <v>268</v>
      </c>
      <c r="O13" s="130" t="s">
        <v>691</v>
      </c>
      <c r="P13" s="130" t="s">
        <v>749</v>
      </c>
      <c r="Q13" s="164">
        <v>45936</v>
      </c>
      <c r="R13" s="164">
        <v>45655</v>
      </c>
      <c r="S13" s="130">
        <f t="shared" si="1"/>
        <v>-281</v>
      </c>
      <c r="T13" s="236" t="s">
        <v>767</v>
      </c>
      <c r="U13" s="128">
        <f t="shared" si="0"/>
        <v>0</v>
      </c>
    </row>
    <row r="14" spans="2:21" s="128" customFormat="1" ht="168.5" customHeight="1" x14ac:dyDescent="0.2">
      <c r="B14" s="129">
        <f>SUBTOTAL(3,$C$8:C14)</f>
        <v>2</v>
      </c>
      <c r="C14" s="130" t="s">
        <v>246</v>
      </c>
      <c r="D14" s="138" t="s">
        <v>66</v>
      </c>
      <c r="E14" s="130" t="s">
        <v>269</v>
      </c>
      <c r="F14" s="130" t="s">
        <v>270</v>
      </c>
      <c r="G14" s="226">
        <v>20690040334</v>
      </c>
      <c r="H14" s="138">
        <v>15593</v>
      </c>
      <c r="I14" s="138">
        <v>14577</v>
      </c>
      <c r="J14" s="145">
        <f t="shared" si="2"/>
        <v>1016</v>
      </c>
      <c r="K14" s="146">
        <f>I14/H14</f>
        <v>0.93484255755787848</v>
      </c>
      <c r="L14" s="147" t="s">
        <v>74</v>
      </c>
      <c r="M14" s="147" t="s">
        <v>50</v>
      </c>
      <c r="N14" s="193" t="s">
        <v>271</v>
      </c>
      <c r="O14" s="197" t="s">
        <v>684</v>
      </c>
      <c r="P14" s="130" t="s">
        <v>750</v>
      </c>
      <c r="Q14" s="164">
        <v>46034</v>
      </c>
      <c r="R14" s="164">
        <v>45774</v>
      </c>
      <c r="S14" s="130">
        <f t="shared" si="1"/>
        <v>-260</v>
      </c>
      <c r="T14" s="236" t="s">
        <v>770</v>
      </c>
      <c r="U14" s="128">
        <f t="shared" si="0"/>
        <v>20690071520.934841</v>
      </c>
    </row>
    <row r="15" spans="2:21" s="128" customFormat="1" ht="179.5" hidden="1" customHeight="1" x14ac:dyDescent="0.2">
      <c r="B15" s="129">
        <f>SUBTOTAL(3,$C$8:C15)</f>
        <v>2</v>
      </c>
      <c r="C15" s="130" t="s">
        <v>246</v>
      </c>
      <c r="D15" s="138" t="s">
        <v>66</v>
      </c>
      <c r="E15" s="130" t="s">
        <v>272</v>
      </c>
      <c r="F15" s="130" t="s">
        <v>273</v>
      </c>
      <c r="G15" s="226">
        <v>30601272392</v>
      </c>
      <c r="H15" s="138">
        <v>20735</v>
      </c>
      <c r="I15" s="138">
        <v>21356</v>
      </c>
      <c r="J15" s="145">
        <f t="shared" si="2"/>
        <v>-621</v>
      </c>
      <c r="K15" s="183">
        <v>1</v>
      </c>
      <c r="L15" s="147" t="s">
        <v>74</v>
      </c>
      <c r="M15" s="147" t="s">
        <v>50</v>
      </c>
      <c r="N15" s="193" t="s">
        <v>274</v>
      </c>
      <c r="O15" s="130" t="s">
        <v>685</v>
      </c>
      <c r="P15" s="130" t="s">
        <v>751</v>
      </c>
      <c r="Q15" s="164">
        <v>46022</v>
      </c>
      <c r="R15" s="164">
        <v>45774</v>
      </c>
      <c r="S15" s="130">
        <f t="shared" si="1"/>
        <v>-248</v>
      </c>
      <c r="T15" s="236" t="s">
        <v>769</v>
      </c>
      <c r="U15" s="128">
        <f t="shared" si="0"/>
        <v>0</v>
      </c>
    </row>
    <row r="16" spans="2:21" s="128" customFormat="1" ht="187" hidden="1" customHeight="1" x14ac:dyDescent="0.2">
      <c r="B16" s="129">
        <f>SUBTOTAL(3,$C$8:C16)</f>
        <v>2</v>
      </c>
      <c r="C16" s="130" t="s">
        <v>246</v>
      </c>
      <c r="D16" s="138" t="s">
        <v>66</v>
      </c>
      <c r="E16" s="130" t="s">
        <v>275</v>
      </c>
      <c r="F16" s="130" t="s">
        <v>276</v>
      </c>
      <c r="G16" s="226">
        <v>36201016557</v>
      </c>
      <c r="H16" s="138">
        <v>23924</v>
      </c>
      <c r="I16" s="138">
        <v>22072</v>
      </c>
      <c r="J16" s="145">
        <f t="shared" si="2"/>
        <v>1852</v>
      </c>
      <c r="K16" s="146">
        <f t="shared" ref="K16:K22" si="3">I16/H16</f>
        <v>0.92258819595385388</v>
      </c>
      <c r="L16" s="147" t="s">
        <v>74</v>
      </c>
      <c r="M16" s="147" t="s">
        <v>50</v>
      </c>
      <c r="N16" s="198" t="s">
        <v>277</v>
      </c>
      <c r="O16" s="130" t="s">
        <v>693</v>
      </c>
      <c r="P16" s="130" t="s">
        <v>751</v>
      </c>
      <c r="Q16" s="164">
        <v>46153</v>
      </c>
      <c r="R16" s="164">
        <v>45774</v>
      </c>
      <c r="S16" s="130">
        <f t="shared" si="1"/>
        <v>-379</v>
      </c>
      <c r="T16" s="236" t="s">
        <v>769</v>
      </c>
      <c r="U16" s="128">
        <f t="shared" si="0"/>
        <v>0</v>
      </c>
    </row>
    <row r="17" spans="2:21" s="128" customFormat="1" ht="219" customHeight="1" x14ac:dyDescent="0.2">
      <c r="B17" s="129">
        <f>SUBTOTAL(3,$C$8:C17)</f>
        <v>3</v>
      </c>
      <c r="C17" s="130" t="s">
        <v>246</v>
      </c>
      <c r="D17" s="138" t="s">
        <v>66</v>
      </c>
      <c r="E17" s="130" t="s">
        <v>278</v>
      </c>
      <c r="F17" s="130" t="s">
        <v>279</v>
      </c>
      <c r="G17" s="226">
        <v>17451066715</v>
      </c>
      <c r="H17" s="138">
        <v>11115</v>
      </c>
      <c r="I17" s="138">
        <v>7537</v>
      </c>
      <c r="J17" s="145">
        <f t="shared" si="2"/>
        <v>3578</v>
      </c>
      <c r="K17" s="146">
        <f t="shared" si="3"/>
        <v>0.67809266756635178</v>
      </c>
      <c r="L17" s="147" t="s">
        <v>51</v>
      </c>
      <c r="M17" s="147" t="s">
        <v>50</v>
      </c>
      <c r="N17" s="193" t="s">
        <v>280</v>
      </c>
      <c r="O17" s="199" t="s">
        <v>694</v>
      </c>
      <c r="P17" s="130" t="s">
        <v>761</v>
      </c>
      <c r="Q17" s="164">
        <v>46029</v>
      </c>
      <c r="R17" s="164">
        <v>45774</v>
      </c>
      <c r="S17" s="130">
        <f t="shared" si="1"/>
        <v>-255</v>
      </c>
      <c r="T17" s="236" t="s">
        <v>770</v>
      </c>
      <c r="U17" s="128">
        <f t="shared" si="0"/>
        <v>17451088945.678093</v>
      </c>
    </row>
    <row r="18" spans="2:21" s="128" customFormat="1" ht="149" hidden="1" customHeight="1" x14ac:dyDescent="0.2">
      <c r="B18" s="129">
        <f>SUBTOTAL(3,$C$8:C18)</f>
        <v>3</v>
      </c>
      <c r="C18" s="130" t="s">
        <v>246</v>
      </c>
      <c r="D18" s="138" t="s">
        <v>66</v>
      </c>
      <c r="E18" s="130" t="s">
        <v>281</v>
      </c>
      <c r="F18" s="130" t="s">
        <v>282</v>
      </c>
      <c r="G18" s="226">
        <v>7446330080</v>
      </c>
      <c r="H18" s="138">
        <v>5175</v>
      </c>
      <c r="I18" s="138">
        <v>4866</v>
      </c>
      <c r="J18" s="145">
        <f t="shared" si="2"/>
        <v>309</v>
      </c>
      <c r="K18" s="146">
        <f t="shared" si="3"/>
        <v>0.94028985507246376</v>
      </c>
      <c r="L18" s="147" t="s">
        <v>51</v>
      </c>
      <c r="M18" s="147" t="s">
        <v>50</v>
      </c>
      <c r="N18" s="200" t="s">
        <v>283</v>
      </c>
      <c r="O18" s="197" t="s">
        <v>695</v>
      </c>
      <c r="P18" s="130" t="s">
        <v>598</v>
      </c>
      <c r="Q18" s="164">
        <v>46041</v>
      </c>
      <c r="R18" s="164">
        <v>45774</v>
      </c>
      <c r="S18" s="130">
        <f t="shared" si="1"/>
        <v>-267</v>
      </c>
      <c r="T18" s="236" t="s">
        <v>767</v>
      </c>
      <c r="U18" s="128">
        <f t="shared" si="0"/>
        <v>0</v>
      </c>
    </row>
    <row r="19" spans="2:21" s="128" customFormat="1" ht="197" hidden="1" customHeight="1" x14ac:dyDescent="0.2">
      <c r="B19" s="129">
        <f>SUBTOTAL(3,$C$8:C19)</f>
        <v>3</v>
      </c>
      <c r="C19" s="130" t="s">
        <v>246</v>
      </c>
      <c r="D19" s="138" t="s">
        <v>66</v>
      </c>
      <c r="E19" s="130" t="s">
        <v>284</v>
      </c>
      <c r="F19" s="130" t="s">
        <v>285</v>
      </c>
      <c r="G19" s="226">
        <v>24621055414</v>
      </c>
      <c r="H19" s="138">
        <v>15118</v>
      </c>
      <c r="I19" s="138">
        <v>11448</v>
      </c>
      <c r="J19" s="145">
        <f t="shared" si="2"/>
        <v>3670</v>
      </c>
      <c r="K19" s="146">
        <f t="shared" si="3"/>
        <v>0.75724302156369894</v>
      </c>
      <c r="L19" s="147" t="s">
        <v>51</v>
      </c>
      <c r="M19" s="147" t="s">
        <v>50</v>
      </c>
      <c r="N19" s="198" t="s">
        <v>286</v>
      </c>
      <c r="O19" s="130" t="s">
        <v>696</v>
      </c>
      <c r="P19" s="130" t="s">
        <v>762</v>
      </c>
      <c r="Q19" s="164">
        <v>46041</v>
      </c>
      <c r="R19" s="164">
        <v>45774</v>
      </c>
      <c r="S19" s="130">
        <f t="shared" si="1"/>
        <v>-267</v>
      </c>
      <c r="T19" s="236" t="s">
        <v>769</v>
      </c>
      <c r="U19" s="128">
        <f t="shared" si="0"/>
        <v>0</v>
      </c>
    </row>
    <row r="20" spans="2:21" s="128" customFormat="1" ht="330.5" hidden="1" customHeight="1" x14ac:dyDescent="0.2">
      <c r="B20" s="129">
        <f>SUBTOTAL(3,$C$8:C20)</f>
        <v>3</v>
      </c>
      <c r="C20" s="130" t="s">
        <v>287</v>
      </c>
      <c r="D20" s="138" t="s">
        <v>66</v>
      </c>
      <c r="E20" s="137" t="s">
        <v>288</v>
      </c>
      <c r="F20" s="130" t="s">
        <v>289</v>
      </c>
      <c r="G20" s="226">
        <v>1195589587</v>
      </c>
      <c r="H20" s="138">
        <v>1</v>
      </c>
      <c r="I20" s="138">
        <v>0</v>
      </c>
      <c r="J20" s="145">
        <f t="shared" si="2"/>
        <v>1</v>
      </c>
      <c r="K20" s="146">
        <f t="shared" si="3"/>
        <v>0</v>
      </c>
      <c r="L20" s="147" t="s">
        <v>290</v>
      </c>
      <c r="M20" s="147" t="s">
        <v>50</v>
      </c>
      <c r="N20" s="197" t="s">
        <v>291</v>
      </c>
      <c r="O20" s="130" t="s">
        <v>644</v>
      </c>
      <c r="P20" s="158" t="s">
        <v>763</v>
      </c>
      <c r="Q20" s="159">
        <v>46113</v>
      </c>
      <c r="R20" s="160">
        <v>45837</v>
      </c>
      <c r="S20" s="161">
        <f t="shared" si="1"/>
        <v>-276</v>
      </c>
      <c r="T20" s="237" t="s">
        <v>767</v>
      </c>
      <c r="U20" s="128">
        <f t="shared" si="0"/>
        <v>0</v>
      </c>
    </row>
    <row r="21" spans="2:21" s="128" customFormat="1" ht="157.5" hidden="1" customHeight="1" x14ac:dyDescent="0.2">
      <c r="B21" s="131">
        <v>1</v>
      </c>
      <c r="C21" s="132" t="s">
        <v>287</v>
      </c>
      <c r="D21" s="140" t="s">
        <v>66</v>
      </c>
      <c r="E21" s="139" t="s">
        <v>292</v>
      </c>
      <c r="F21" s="132" t="s">
        <v>293</v>
      </c>
      <c r="G21" s="226">
        <v>972118820</v>
      </c>
      <c r="H21" s="140">
        <v>1</v>
      </c>
      <c r="I21" s="138">
        <v>0</v>
      </c>
      <c r="J21" s="145">
        <f t="shared" si="2"/>
        <v>1</v>
      </c>
      <c r="K21" s="148">
        <f t="shared" si="3"/>
        <v>0</v>
      </c>
      <c r="L21" s="149" t="s">
        <v>290</v>
      </c>
      <c r="M21" s="150" t="s">
        <v>294</v>
      </c>
      <c r="N21" s="162" t="s">
        <v>295</v>
      </c>
      <c r="O21" s="162" t="s">
        <v>390</v>
      </c>
      <c r="P21" s="163" t="s">
        <v>294</v>
      </c>
      <c r="Q21" s="164">
        <v>46113</v>
      </c>
      <c r="R21" s="164">
        <v>45837</v>
      </c>
      <c r="S21" s="130">
        <f t="shared" si="1"/>
        <v>-276</v>
      </c>
      <c r="T21" s="236"/>
      <c r="U21" s="128">
        <f t="shared" si="0"/>
        <v>0</v>
      </c>
    </row>
    <row r="22" spans="2:21" s="128" customFormat="1" ht="280.5" hidden="1" customHeight="1" x14ac:dyDescent="0.2">
      <c r="B22" s="129">
        <f>SUBTOTAL(3,$C$8:C22)</f>
        <v>3</v>
      </c>
      <c r="C22" s="130" t="s">
        <v>287</v>
      </c>
      <c r="D22" s="138" t="s">
        <v>66</v>
      </c>
      <c r="E22" s="137" t="s">
        <v>296</v>
      </c>
      <c r="F22" s="130" t="s">
        <v>297</v>
      </c>
      <c r="G22" s="226">
        <v>4768013341</v>
      </c>
      <c r="H22" s="138">
        <v>1</v>
      </c>
      <c r="I22" s="138">
        <v>1</v>
      </c>
      <c r="J22" s="145">
        <f t="shared" si="2"/>
        <v>0</v>
      </c>
      <c r="K22" s="146">
        <f t="shared" si="3"/>
        <v>1</v>
      </c>
      <c r="L22" s="147" t="s">
        <v>290</v>
      </c>
      <c r="M22" s="147" t="s">
        <v>50</v>
      </c>
      <c r="N22" s="130" t="s">
        <v>298</v>
      </c>
      <c r="O22" s="165" t="s">
        <v>645</v>
      </c>
      <c r="P22" s="158" t="s">
        <v>763</v>
      </c>
      <c r="Q22" s="166">
        <v>46142</v>
      </c>
      <c r="R22" s="167">
        <v>45837</v>
      </c>
      <c r="S22" s="168">
        <f t="shared" si="1"/>
        <v>-305</v>
      </c>
      <c r="T22" s="237" t="s">
        <v>767</v>
      </c>
      <c r="U22" s="128">
        <f t="shared" si="0"/>
        <v>0</v>
      </c>
    </row>
    <row r="23" spans="2:21" s="128" customFormat="1" ht="339.5" hidden="1" customHeight="1" x14ac:dyDescent="0.2">
      <c r="B23" s="133">
        <v>1</v>
      </c>
      <c r="C23" s="134" t="s">
        <v>287</v>
      </c>
      <c r="D23" s="142" t="s">
        <v>66</v>
      </c>
      <c r="E23" s="141" t="s">
        <v>299</v>
      </c>
      <c r="F23" s="134" t="s">
        <v>300</v>
      </c>
      <c r="G23" s="226">
        <v>2595445749</v>
      </c>
      <c r="H23" s="142">
        <v>1</v>
      </c>
      <c r="I23" s="138">
        <v>0</v>
      </c>
      <c r="J23" s="145">
        <f t="shared" si="2"/>
        <v>1</v>
      </c>
      <c r="K23" s="151">
        <v>1</v>
      </c>
      <c r="L23" s="152" t="s">
        <v>290</v>
      </c>
      <c r="M23" s="152" t="s">
        <v>166</v>
      </c>
      <c r="N23" s="134" t="s">
        <v>301</v>
      </c>
      <c r="O23" s="158" t="s">
        <v>646</v>
      </c>
      <c r="P23" s="158" t="s">
        <v>764</v>
      </c>
      <c r="Q23" s="167">
        <v>46142</v>
      </c>
      <c r="R23" s="167">
        <v>45837</v>
      </c>
      <c r="S23" s="168">
        <f t="shared" si="1"/>
        <v>-305</v>
      </c>
      <c r="T23" s="237"/>
      <c r="U23" s="128">
        <f t="shared" si="0"/>
        <v>0</v>
      </c>
    </row>
    <row r="24" spans="2:21" s="128" customFormat="1" ht="335.5" hidden="1" customHeight="1" x14ac:dyDescent="0.2">
      <c r="B24" s="129">
        <f>SUBTOTAL(3,$C$8:C24)</f>
        <v>3</v>
      </c>
      <c r="C24" s="130" t="s">
        <v>287</v>
      </c>
      <c r="D24" s="138" t="s">
        <v>66</v>
      </c>
      <c r="E24" s="137" t="s">
        <v>302</v>
      </c>
      <c r="F24" s="130" t="s">
        <v>303</v>
      </c>
      <c r="G24" s="226">
        <v>3921389066</v>
      </c>
      <c r="H24" s="138">
        <v>1</v>
      </c>
      <c r="I24" s="138">
        <v>1</v>
      </c>
      <c r="J24" s="145">
        <f t="shared" si="2"/>
        <v>0</v>
      </c>
      <c r="K24" s="146">
        <f t="shared" ref="K24:K28" si="4">I24/H24</f>
        <v>1</v>
      </c>
      <c r="L24" s="147" t="s">
        <v>290</v>
      </c>
      <c r="M24" s="147" t="s">
        <v>50</v>
      </c>
      <c r="N24" s="130" t="s">
        <v>298</v>
      </c>
      <c r="O24" s="165" t="s">
        <v>647</v>
      </c>
      <c r="P24" s="158" t="s">
        <v>763</v>
      </c>
      <c r="Q24" s="166">
        <v>46112</v>
      </c>
      <c r="R24" s="167">
        <v>45837</v>
      </c>
      <c r="S24" s="168">
        <f t="shared" si="1"/>
        <v>-275</v>
      </c>
      <c r="T24" s="237" t="s">
        <v>767</v>
      </c>
    </row>
    <row r="25" spans="2:21" s="128" customFormat="1" ht="330.5" hidden="1" customHeight="1" x14ac:dyDescent="0.2">
      <c r="B25" s="129">
        <f>SUBTOTAL(3,$C$8:C25)</f>
        <v>3</v>
      </c>
      <c r="C25" s="130" t="s">
        <v>287</v>
      </c>
      <c r="D25" s="138" t="s">
        <v>66</v>
      </c>
      <c r="E25" s="137" t="s">
        <v>304</v>
      </c>
      <c r="F25" s="130" t="s">
        <v>305</v>
      </c>
      <c r="G25" s="226">
        <v>3393020513</v>
      </c>
      <c r="H25" s="138">
        <v>1</v>
      </c>
      <c r="I25" s="138">
        <v>1</v>
      </c>
      <c r="J25" s="145">
        <f t="shared" si="2"/>
        <v>0</v>
      </c>
      <c r="K25" s="146">
        <f t="shared" si="4"/>
        <v>1</v>
      </c>
      <c r="L25" s="147" t="s">
        <v>290</v>
      </c>
      <c r="M25" s="147" t="s">
        <v>50</v>
      </c>
      <c r="N25" s="130" t="s">
        <v>306</v>
      </c>
      <c r="O25" s="169" t="s">
        <v>648</v>
      </c>
      <c r="P25" s="158" t="s">
        <v>763</v>
      </c>
      <c r="Q25" s="166">
        <v>46112</v>
      </c>
      <c r="R25" s="167">
        <v>45837</v>
      </c>
      <c r="S25" s="168">
        <f t="shared" si="1"/>
        <v>-275</v>
      </c>
      <c r="T25" s="237" t="s">
        <v>767</v>
      </c>
    </row>
    <row r="26" spans="2:21" s="128" customFormat="1" ht="144.75" hidden="1" customHeight="1" x14ac:dyDescent="0.2">
      <c r="B26" s="131">
        <v>2</v>
      </c>
      <c r="C26" s="132" t="s">
        <v>287</v>
      </c>
      <c r="D26" s="140" t="s">
        <v>66</v>
      </c>
      <c r="E26" s="139" t="s">
        <v>307</v>
      </c>
      <c r="F26" s="132" t="s">
        <v>308</v>
      </c>
      <c r="G26" s="226">
        <v>1243463102</v>
      </c>
      <c r="H26" s="140">
        <v>465</v>
      </c>
      <c r="I26" s="138">
        <v>0</v>
      </c>
      <c r="J26" s="145">
        <f t="shared" si="2"/>
        <v>465</v>
      </c>
      <c r="K26" s="148">
        <f t="shared" si="4"/>
        <v>0</v>
      </c>
      <c r="L26" s="149" t="s">
        <v>51</v>
      </c>
      <c r="M26" s="149" t="s">
        <v>294</v>
      </c>
      <c r="N26" s="153" t="s">
        <v>309</v>
      </c>
      <c r="O26" s="132" t="s">
        <v>310</v>
      </c>
      <c r="P26" s="163" t="s">
        <v>294</v>
      </c>
      <c r="Q26" s="164">
        <v>46113</v>
      </c>
      <c r="R26" s="164">
        <v>45865</v>
      </c>
      <c r="S26" s="130">
        <f t="shared" si="1"/>
        <v>-248</v>
      </c>
      <c r="T26" s="236"/>
    </row>
    <row r="27" spans="2:21" s="128" customFormat="1" ht="155.5" hidden="1" customHeight="1" x14ac:dyDescent="0.2">
      <c r="B27" s="135">
        <v>3</v>
      </c>
      <c r="C27" s="136" t="s">
        <v>287</v>
      </c>
      <c r="D27" s="144" t="s">
        <v>66</v>
      </c>
      <c r="E27" s="143" t="s">
        <v>311</v>
      </c>
      <c r="F27" s="136" t="s">
        <v>312</v>
      </c>
      <c r="G27" s="226">
        <v>1682806890</v>
      </c>
      <c r="H27" s="144">
        <v>856</v>
      </c>
      <c r="I27" s="138">
        <v>0</v>
      </c>
      <c r="J27" s="145">
        <f t="shared" si="2"/>
        <v>856</v>
      </c>
      <c r="K27" s="155">
        <f t="shared" si="4"/>
        <v>0</v>
      </c>
      <c r="L27" s="156" t="s">
        <v>51</v>
      </c>
      <c r="M27" s="156" t="s">
        <v>294</v>
      </c>
      <c r="N27" s="157" t="s">
        <v>309</v>
      </c>
      <c r="O27" s="136" t="s">
        <v>310</v>
      </c>
      <c r="P27" s="170" t="s">
        <v>294</v>
      </c>
      <c r="Q27" s="171">
        <v>46113</v>
      </c>
      <c r="R27" s="171">
        <v>45865</v>
      </c>
      <c r="S27" s="172">
        <f t="shared" si="1"/>
        <v>-248</v>
      </c>
      <c r="T27" s="236"/>
    </row>
    <row r="28" spans="2:21" s="128" customFormat="1" ht="163" hidden="1" customHeight="1" x14ac:dyDescent="0.2">
      <c r="B28" s="129">
        <f>SUBTOTAL(3,$C$8:C28)</f>
        <v>3</v>
      </c>
      <c r="C28" s="130" t="s">
        <v>246</v>
      </c>
      <c r="D28" s="138" t="s">
        <v>66</v>
      </c>
      <c r="E28" s="130" t="s">
        <v>313</v>
      </c>
      <c r="F28" s="130" t="s">
        <v>314</v>
      </c>
      <c r="G28" s="226">
        <v>482167758</v>
      </c>
      <c r="H28" s="138">
        <v>220</v>
      </c>
      <c r="I28" s="138">
        <v>220</v>
      </c>
      <c r="J28" s="145">
        <f t="shared" si="2"/>
        <v>0</v>
      </c>
      <c r="K28" s="146">
        <f t="shared" si="4"/>
        <v>1</v>
      </c>
      <c r="L28" s="147" t="s">
        <v>51</v>
      </c>
      <c r="M28" s="147" t="s">
        <v>50</v>
      </c>
      <c r="N28" s="193" t="s">
        <v>315</v>
      </c>
      <c r="O28" s="197" t="s">
        <v>697</v>
      </c>
      <c r="P28" s="202" t="s">
        <v>597</v>
      </c>
      <c r="Q28" s="164">
        <v>46147</v>
      </c>
      <c r="R28" s="164">
        <v>45683</v>
      </c>
      <c r="S28" s="130">
        <f t="shared" si="1"/>
        <v>-464</v>
      </c>
      <c r="T28" s="236" t="s">
        <v>767</v>
      </c>
    </row>
    <row r="29" spans="2:21" ht="40.5" customHeight="1" x14ac:dyDescent="0.35">
      <c r="B29" s="173" t="s">
        <v>231</v>
      </c>
      <c r="C29" s="174"/>
      <c r="D29" s="203"/>
      <c r="E29" s="175"/>
      <c r="F29" s="174"/>
      <c r="G29" s="176">
        <f>SUBTOTAL(9,G4:G28)</f>
        <v>294363802482</v>
      </c>
      <c r="H29" s="176">
        <f t="shared" ref="H29:J29" si="5">SUBTOTAL(9,H4:H28)</f>
        <v>31630</v>
      </c>
      <c r="I29" s="176">
        <f t="shared" si="5"/>
        <v>25988.1</v>
      </c>
      <c r="J29" s="176">
        <f t="shared" si="5"/>
        <v>5641.9</v>
      </c>
      <c r="K29" s="177">
        <f>(I29+J29)/H29</f>
        <v>1</v>
      </c>
      <c r="L29" s="178"/>
      <c r="M29" s="178"/>
      <c r="N29" s="178"/>
      <c r="O29" s="179"/>
      <c r="P29" s="178"/>
      <c r="Q29" s="180"/>
      <c r="R29" s="178"/>
      <c r="S29" s="178"/>
      <c r="T29" s="238"/>
    </row>
  </sheetData>
  <autoFilter ref="B3:U28" xr:uid="{CE9336C7-5BCE-4A6E-A8A4-303C40667357}">
    <filterColumn colId="11">
      <filters>
        <filter val="Proses Konstruksi"/>
      </filters>
    </filterColumn>
    <filterColumn colId="18">
      <filters>
        <filter val="Sep"/>
      </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4AAD-770F-4EF1-A664-90E8CCB52167}">
  <sheetPr filterMode="1"/>
  <dimension ref="B2:AU58"/>
  <sheetViews>
    <sheetView zoomScale="50" zoomScaleNormal="50" workbookViewId="0">
      <pane xSplit="7" ySplit="4" topLeftCell="H21" activePane="bottomRight" state="frozen"/>
      <selection pane="topRight" activeCell="I1" sqref="I1"/>
      <selection pane="bottomLeft" activeCell="A4" sqref="A4"/>
      <selection pane="bottomRight" activeCell="B4" sqref="B4:P54"/>
    </sheetView>
  </sheetViews>
  <sheetFormatPr baseColWidth="10" defaultColWidth="8.6640625" defaultRowHeight="15" customHeight="1" x14ac:dyDescent="0.35"/>
  <cols>
    <col min="1" max="1" width="8.6640625" style="122"/>
    <col min="2" max="2" width="6.5" style="123" customWidth="1"/>
    <col min="3" max="3" width="23.33203125" style="122" customWidth="1"/>
    <col min="4" max="4" width="23.33203125" style="122" hidden="1" customWidth="1"/>
    <col min="5" max="5" width="29.6640625" style="122" hidden="1" customWidth="1"/>
    <col min="6" max="6" width="35.5" style="125" customWidth="1"/>
    <col min="7" max="7" width="43.83203125" style="125" customWidth="1"/>
    <col min="8" max="8" width="22.1640625" style="122" customWidth="1"/>
    <col min="9" max="9" width="24.6640625" style="122" customWidth="1"/>
    <col min="10" max="10" width="20.33203125" style="122" customWidth="1"/>
    <col min="11" max="11" width="18.33203125" style="122" customWidth="1"/>
    <col min="12" max="12" width="30.6640625" style="123" customWidth="1"/>
    <col min="13" max="13" width="28.6640625" style="123" customWidth="1"/>
    <col min="14" max="14" width="131.33203125" style="122" customWidth="1"/>
    <col min="15" max="15" width="133.33203125" style="122" customWidth="1"/>
    <col min="16" max="16" width="90.1640625" style="122" customWidth="1"/>
    <col min="17" max="18" width="15.83203125" style="122" hidden="1" customWidth="1"/>
    <col min="19" max="19" width="23.33203125" style="122" hidden="1" customWidth="1"/>
    <col min="20" max="20" width="25.83203125" style="122" customWidth="1"/>
    <col min="21" max="21" width="8.83203125" style="122" bestFit="1" customWidth="1"/>
    <col min="22" max="22" width="8.6640625" style="122"/>
    <col min="23" max="23" width="8.83203125" style="122" bestFit="1" customWidth="1"/>
    <col min="24" max="24" width="8.6640625" style="122"/>
    <col min="25" max="25" width="9.5" style="122" bestFit="1" customWidth="1"/>
    <col min="26" max="26" width="8.6640625" style="122"/>
    <col min="27" max="27" width="8.83203125" style="122" bestFit="1" customWidth="1"/>
    <col min="28" max="28" width="8.6640625" style="122"/>
    <col min="29" max="29" width="9.5" style="122" bestFit="1" customWidth="1"/>
    <col min="30" max="30" width="8.6640625" style="122"/>
    <col min="31" max="31" width="9.5" style="122" bestFit="1" customWidth="1"/>
    <col min="32" max="32" width="8.6640625" style="122"/>
    <col min="33" max="33" width="8.83203125" style="122" bestFit="1" customWidth="1"/>
    <col min="34" max="34" width="8.6640625" style="122"/>
    <col min="35" max="35" width="8.83203125" style="122" bestFit="1" customWidth="1"/>
    <col min="36" max="36" width="8.6640625" style="122"/>
    <col min="37" max="37" width="9.5" style="122" bestFit="1" customWidth="1"/>
    <col min="38" max="38" width="8.6640625" style="122"/>
    <col min="39" max="39" width="9.5" style="122" bestFit="1" customWidth="1"/>
    <col min="40" max="40" width="8.6640625" style="122"/>
    <col min="41" max="41" width="9.5" style="122" bestFit="1" customWidth="1"/>
    <col min="42" max="42" width="8.6640625" style="122"/>
    <col min="43" max="43" width="9.5" style="122" bestFit="1" customWidth="1"/>
    <col min="44" max="44" width="8.6640625" style="122"/>
    <col min="45" max="45" width="9.5" style="122" bestFit="1" customWidth="1"/>
    <col min="46" max="16384" width="8.6640625" style="122"/>
  </cols>
  <sheetData>
    <row r="2" spans="2:47" ht="31" x14ac:dyDescent="0.35">
      <c r="B2" s="123">
        <f>SUBTOTAL(3,$B$5:$B$53)</f>
        <v>0</v>
      </c>
      <c r="P2" s="123"/>
    </row>
    <row r="3" spans="2:47" ht="31" x14ac:dyDescent="0.35">
      <c r="P3" s="123"/>
    </row>
    <row r="4" spans="2:47" s="187" customFormat="1" ht="82" customHeight="1" x14ac:dyDescent="0.2">
      <c r="B4" s="124" t="s">
        <v>0</v>
      </c>
      <c r="C4" s="124" t="s">
        <v>1</v>
      </c>
      <c r="D4" s="124" t="s">
        <v>766</v>
      </c>
      <c r="E4" s="126" t="s">
        <v>3</v>
      </c>
      <c r="F4" s="126" t="s">
        <v>4</v>
      </c>
      <c r="G4" s="126" t="s">
        <v>5</v>
      </c>
      <c r="H4" s="126" t="s">
        <v>7</v>
      </c>
      <c r="I4" s="126" t="s">
        <v>8</v>
      </c>
      <c r="J4" s="126" t="s">
        <v>9</v>
      </c>
      <c r="K4" s="126" t="s">
        <v>10</v>
      </c>
      <c r="L4" s="126" t="s">
        <v>11</v>
      </c>
      <c r="M4" s="126" t="s">
        <v>6</v>
      </c>
      <c r="N4" s="126" t="s">
        <v>12</v>
      </c>
      <c r="O4" s="126" t="s">
        <v>13</v>
      </c>
      <c r="P4" s="126" t="s">
        <v>15</v>
      </c>
      <c r="Q4" s="127" t="s">
        <v>16</v>
      </c>
      <c r="R4" s="204" t="s">
        <v>17</v>
      </c>
      <c r="S4" s="204" t="s">
        <v>18</v>
      </c>
      <c r="U4" s="205" t="s">
        <v>19</v>
      </c>
      <c r="V4" s="206" t="s">
        <v>20</v>
      </c>
      <c r="W4" s="207" t="s">
        <v>21</v>
      </c>
      <c r="X4" s="208" t="s">
        <v>22</v>
      </c>
      <c r="Y4" s="205" t="s">
        <v>23</v>
      </c>
      <c r="Z4" s="206" t="s">
        <v>24</v>
      </c>
      <c r="AA4" s="205" t="s">
        <v>25</v>
      </c>
      <c r="AB4" s="206" t="s">
        <v>26</v>
      </c>
      <c r="AC4" s="209" t="s">
        <v>27</v>
      </c>
      <c r="AD4" s="208" t="s">
        <v>28</v>
      </c>
      <c r="AE4" s="205" t="s">
        <v>29</v>
      </c>
      <c r="AF4" s="210" t="s">
        <v>30</v>
      </c>
      <c r="AG4" s="205" t="s">
        <v>31</v>
      </c>
      <c r="AH4" s="206" t="s">
        <v>32</v>
      </c>
      <c r="AI4" s="205" t="s">
        <v>33</v>
      </c>
      <c r="AJ4" s="206" t="s">
        <v>34</v>
      </c>
      <c r="AK4" s="205" t="s">
        <v>35</v>
      </c>
      <c r="AL4" s="206" t="s">
        <v>36</v>
      </c>
      <c r="AM4" s="205" t="s">
        <v>37</v>
      </c>
      <c r="AN4" s="206" t="s">
        <v>38</v>
      </c>
      <c r="AO4" s="205" t="s">
        <v>39</v>
      </c>
      <c r="AP4" s="206" t="s">
        <v>40</v>
      </c>
      <c r="AQ4" s="205" t="s">
        <v>41</v>
      </c>
      <c r="AR4" s="206" t="s">
        <v>42</v>
      </c>
      <c r="AS4" s="205" t="s">
        <v>43</v>
      </c>
      <c r="AT4" s="211" t="s">
        <v>44</v>
      </c>
      <c r="AU4" s="205" t="s">
        <v>45</v>
      </c>
    </row>
    <row r="5" spans="2:47" s="128" customFormat="1" ht="325.5" hidden="1" customHeight="1" x14ac:dyDescent="0.2">
      <c r="B5" s="147">
        <f>SUBTOTAL(3,$C$5:C5)</f>
        <v>0</v>
      </c>
      <c r="C5" s="130" t="s">
        <v>46</v>
      </c>
      <c r="D5" s="130"/>
      <c r="E5" s="130" t="s">
        <v>48</v>
      </c>
      <c r="F5" s="130" t="s">
        <v>49</v>
      </c>
      <c r="G5" s="226">
        <v>50227463541</v>
      </c>
      <c r="H5" s="138">
        <v>2363</v>
      </c>
      <c r="I5" s="138">
        <v>2107.5</v>
      </c>
      <c r="J5" s="145"/>
      <c r="K5" s="146">
        <v>1</v>
      </c>
      <c r="L5" s="147" t="s">
        <v>51</v>
      </c>
      <c r="M5" s="147" t="s">
        <v>166</v>
      </c>
      <c r="N5" s="201" t="s">
        <v>52</v>
      </c>
      <c r="O5" s="201" t="s">
        <v>638</v>
      </c>
      <c r="P5" s="202" t="s">
        <v>673</v>
      </c>
      <c r="Q5" s="212">
        <v>46094</v>
      </c>
      <c r="R5" s="213">
        <v>45928</v>
      </c>
      <c r="S5" s="128">
        <f>R5-Q5</f>
        <v>-166</v>
      </c>
      <c r="U5" s="128">
        <v>54</v>
      </c>
      <c r="V5" s="128" t="s">
        <v>53</v>
      </c>
      <c r="W5" s="128">
        <v>23</v>
      </c>
      <c r="X5" s="128" t="s">
        <v>53</v>
      </c>
      <c r="Y5" s="128">
        <v>-164</v>
      </c>
      <c r="Z5" s="128" t="s">
        <v>54</v>
      </c>
      <c r="AA5" s="128">
        <v>26</v>
      </c>
      <c r="AB5" s="128" t="s">
        <v>53</v>
      </c>
      <c r="AC5" s="128">
        <v>6</v>
      </c>
      <c r="AD5" s="128" t="s">
        <v>53</v>
      </c>
      <c r="AE5" s="128">
        <v>-136</v>
      </c>
      <c r="AF5" s="128" t="s">
        <v>54</v>
      </c>
      <c r="AG5" s="128">
        <v>-95</v>
      </c>
      <c r="AH5" s="128" t="s">
        <v>54</v>
      </c>
      <c r="AI5" s="128">
        <v>-61</v>
      </c>
      <c r="AJ5" s="128" t="s">
        <v>54</v>
      </c>
      <c r="AK5" s="128">
        <v>-49</v>
      </c>
      <c r="AL5" s="128" t="s">
        <v>54</v>
      </c>
      <c r="AM5" s="128">
        <v>-29</v>
      </c>
      <c r="AN5" s="128" t="s">
        <v>55</v>
      </c>
      <c r="AO5" s="128">
        <v>-43</v>
      </c>
      <c r="AP5" s="128" t="s">
        <v>55</v>
      </c>
      <c r="AQ5" s="128">
        <v>-24</v>
      </c>
      <c r="AR5" s="128" t="s">
        <v>55</v>
      </c>
      <c r="AS5" s="128">
        <v>-17</v>
      </c>
      <c r="AT5" s="128" t="s">
        <v>55</v>
      </c>
      <c r="AU5" s="128" t="s">
        <v>56</v>
      </c>
    </row>
    <row r="6" spans="2:47" s="128" customFormat="1" ht="331.5" hidden="1" customHeight="1" x14ac:dyDescent="0.2">
      <c r="B6" s="147">
        <f>SUBTOTAL(3,$C$5:C6)</f>
        <v>0</v>
      </c>
      <c r="C6" s="130" t="s">
        <v>46</v>
      </c>
      <c r="D6" s="130"/>
      <c r="E6" s="130" t="s">
        <v>57</v>
      </c>
      <c r="F6" s="130" t="s">
        <v>58</v>
      </c>
      <c r="G6" s="226">
        <v>201942465302.90002</v>
      </c>
      <c r="H6" s="138">
        <v>4450</v>
      </c>
      <c r="I6" s="138">
        <v>3046.4</v>
      </c>
      <c r="J6" s="145">
        <f>H6-I6</f>
        <v>1403.6</v>
      </c>
      <c r="K6" s="146">
        <f>I6/H6</f>
        <v>0.68458426966292141</v>
      </c>
      <c r="L6" s="147" t="s">
        <v>51</v>
      </c>
      <c r="M6" s="147" t="s">
        <v>50</v>
      </c>
      <c r="N6" s="201" t="s">
        <v>59</v>
      </c>
      <c r="O6" s="201" t="s">
        <v>679</v>
      </c>
      <c r="P6" s="202" t="s">
        <v>678</v>
      </c>
      <c r="Q6" s="212">
        <v>45573</v>
      </c>
      <c r="R6" s="213">
        <v>45928</v>
      </c>
      <c r="S6" s="128">
        <f t="shared" ref="S6:S53" si="0">R6-Q6</f>
        <v>355</v>
      </c>
      <c r="T6" s="128" t="s">
        <v>767</v>
      </c>
      <c r="U6" s="128">
        <v>60</v>
      </c>
      <c r="V6" s="128" t="s">
        <v>53</v>
      </c>
      <c r="W6" s="128">
        <v>48</v>
      </c>
      <c r="X6" s="128" t="s">
        <v>53</v>
      </c>
      <c r="Y6" s="128">
        <v>-50</v>
      </c>
      <c r="Z6" s="128" t="s">
        <v>54</v>
      </c>
      <c r="AA6" s="128">
        <v>75</v>
      </c>
      <c r="AB6" s="128" t="s">
        <v>53</v>
      </c>
      <c r="AC6" s="128">
        <v>41</v>
      </c>
      <c r="AD6" s="128" t="s">
        <v>53</v>
      </c>
      <c r="AE6" s="128">
        <v>355</v>
      </c>
      <c r="AF6" s="128" t="s">
        <v>53</v>
      </c>
      <c r="AG6" s="128">
        <v>82</v>
      </c>
      <c r="AH6" s="128" t="s">
        <v>53</v>
      </c>
      <c r="AI6" s="128">
        <v>-88</v>
      </c>
      <c r="AJ6" s="128" t="s">
        <v>54</v>
      </c>
      <c r="AK6" s="128">
        <v>88</v>
      </c>
      <c r="AL6" s="128" t="s">
        <v>53</v>
      </c>
      <c r="AM6" s="128">
        <v>-29</v>
      </c>
      <c r="AN6" s="128" t="s">
        <v>55</v>
      </c>
      <c r="AO6" s="128">
        <v>-43</v>
      </c>
      <c r="AP6" s="128" t="s">
        <v>55</v>
      </c>
      <c r="AQ6" s="128">
        <v>-24</v>
      </c>
      <c r="AR6" s="128" t="s">
        <v>55</v>
      </c>
      <c r="AS6" s="128">
        <v>-17</v>
      </c>
      <c r="AT6" s="128" t="s">
        <v>55</v>
      </c>
      <c r="AU6" s="128" t="s">
        <v>61</v>
      </c>
    </row>
    <row r="7" spans="2:47" s="128" customFormat="1" ht="256" hidden="1" customHeight="1" x14ac:dyDescent="0.2">
      <c r="B7" s="147">
        <f>SUBTOTAL(3,$C$5:C7)</f>
        <v>0</v>
      </c>
      <c r="C7" s="130" t="s">
        <v>46</v>
      </c>
      <c r="D7" s="130"/>
      <c r="E7" s="130" t="s">
        <v>62</v>
      </c>
      <c r="F7" s="130" t="s">
        <v>63</v>
      </c>
      <c r="G7" s="226">
        <v>30274805397</v>
      </c>
      <c r="H7" s="138">
        <v>2084</v>
      </c>
      <c r="I7" s="138">
        <v>2066</v>
      </c>
      <c r="J7" s="145"/>
      <c r="K7" s="146">
        <v>1</v>
      </c>
      <c r="L7" s="147" t="s">
        <v>51</v>
      </c>
      <c r="M7" s="147" t="s">
        <v>166</v>
      </c>
      <c r="N7" s="201" t="s">
        <v>65</v>
      </c>
      <c r="O7" s="201" t="s">
        <v>638</v>
      </c>
      <c r="P7" s="202" t="s">
        <v>639</v>
      </c>
      <c r="Q7" s="212">
        <v>46062</v>
      </c>
      <c r="R7" s="213">
        <v>45928</v>
      </c>
      <c r="S7" s="128">
        <f t="shared" si="0"/>
        <v>-134</v>
      </c>
      <c r="U7" s="128">
        <v>-45</v>
      </c>
      <c r="V7" s="128" t="s">
        <v>54</v>
      </c>
      <c r="W7" s="128">
        <v>-54</v>
      </c>
      <c r="X7" s="128" t="s">
        <v>54</v>
      </c>
      <c r="Y7" s="128">
        <v>-38</v>
      </c>
      <c r="Z7" s="128" t="s">
        <v>54</v>
      </c>
      <c r="AA7" s="128">
        <v>-10</v>
      </c>
      <c r="AB7" s="128" t="s">
        <v>54</v>
      </c>
      <c r="AC7" s="128">
        <v>-44</v>
      </c>
      <c r="AD7" s="128" t="s">
        <v>54</v>
      </c>
      <c r="AE7" s="128">
        <v>-136</v>
      </c>
      <c r="AF7" s="128" t="s">
        <v>54</v>
      </c>
      <c r="AG7" s="128">
        <v>-15</v>
      </c>
      <c r="AH7" s="128" t="s">
        <v>54</v>
      </c>
      <c r="AI7" s="128">
        <v>-3</v>
      </c>
      <c r="AJ7" s="128" t="s">
        <v>54</v>
      </c>
      <c r="AK7" s="128">
        <v>-1</v>
      </c>
      <c r="AL7" s="128" t="s">
        <v>54</v>
      </c>
      <c r="AM7" s="128">
        <v>-29</v>
      </c>
      <c r="AN7" s="128" t="s">
        <v>55</v>
      </c>
      <c r="AO7" s="128">
        <v>-43</v>
      </c>
      <c r="AP7" s="128" t="s">
        <v>55</v>
      </c>
      <c r="AQ7" s="128">
        <v>-24</v>
      </c>
      <c r="AR7" s="128" t="s">
        <v>55</v>
      </c>
      <c r="AS7" s="128">
        <v>-17</v>
      </c>
      <c r="AT7" s="128" t="s">
        <v>55</v>
      </c>
      <c r="AU7" s="128" t="s">
        <v>56</v>
      </c>
    </row>
    <row r="8" spans="2:47" s="128" customFormat="1" ht="319.5" hidden="1" customHeight="1" x14ac:dyDescent="0.2">
      <c r="B8" s="147">
        <f>SUBTOTAL(3,$C$5:C8)</f>
        <v>0</v>
      </c>
      <c r="C8" s="130" t="s">
        <v>46</v>
      </c>
      <c r="D8" s="130"/>
      <c r="E8" s="130" t="s">
        <v>67</v>
      </c>
      <c r="F8" s="130" t="s">
        <v>68</v>
      </c>
      <c r="G8" s="226">
        <v>26619887845</v>
      </c>
      <c r="H8" s="138">
        <v>8172</v>
      </c>
      <c r="I8" s="138">
        <v>4871.5</v>
      </c>
      <c r="J8" s="145">
        <f>H8-I8</f>
        <v>3300.5</v>
      </c>
      <c r="K8" s="146">
        <f>I8/H8</f>
        <v>0.59612090063631917</v>
      </c>
      <c r="L8" s="147" t="s">
        <v>69</v>
      </c>
      <c r="M8" s="147" t="s">
        <v>50</v>
      </c>
      <c r="N8" s="201" t="s">
        <v>70</v>
      </c>
      <c r="O8" s="201" t="s">
        <v>708</v>
      </c>
      <c r="P8" s="202" t="s">
        <v>600</v>
      </c>
      <c r="Q8" s="212">
        <v>46153</v>
      </c>
      <c r="R8" s="213">
        <v>45963</v>
      </c>
      <c r="S8" s="128">
        <f t="shared" si="0"/>
        <v>-190</v>
      </c>
      <c r="T8" s="128" t="s">
        <v>767</v>
      </c>
      <c r="U8" s="128">
        <v>54</v>
      </c>
      <c r="V8" s="128" t="s">
        <v>53</v>
      </c>
      <c r="W8" s="128">
        <v>45</v>
      </c>
      <c r="X8" s="128" t="s">
        <v>53</v>
      </c>
      <c r="Y8" s="128">
        <v>-4</v>
      </c>
      <c r="Z8" s="128" t="s">
        <v>54</v>
      </c>
      <c r="AA8" s="128">
        <v>13</v>
      </c>
      <c r="AB8" s="128" t="s">
        <v>53</v>
      </c>
      <c r="AC8" s="128">
        <v>-22.291666666664241</v>
      </c>
      <c r="AD8" s="128" t="s">
        <v>54</v>
      </c>
      <c r="AE8" s="128">
        <v>-123</v>
      </c>
      <c r="AF8" s="128" t="s">
        <v>55</v>
      </c>
      <c r="AG8" s="128">
        <v>20</v>
      </c>
      <c r="AH8" s="128" t="s">
        <v>53</v>
      </c>
      <c r="AI8" s="128">
        <v>32</v>
      </c>
      <c r="AJ8" s="128" t="s">
        <v>53</v>
      </c>
      <c r="AK8" s="128">
        <v>11</v>
      </c>
      <c r="AL8" s="128" t="s">
        <v>53</v>
      </c>
      <c r="AM8" s="128">
        <v>-29</v>
      </c>
      <c r="AN8" s="128" t="s">
        <v>55</v>
      </c>
      <c r="AO8" s="128">
        <v>-43</v>
      </c>
      <c r="AP8" s="128" t="s">
        <v>55</v>
      </c>
      <c r="AQ8" s="128">
        <v>-24</v>
      </c>
      <c r="AR8" s="128" t="s">
        <v>55</v>
      </c>
      <c r="AS8" s="128">
        <v>-17</v>
      </c>
      <c r="AT8" s="128" t="s">
        <v>55</v>
      </c>
      <c r="AU8" s="128" t="s">
        <v>56</v>
      </c>
    </row>
    <row r="9" spans="2:47" s="128" customFormat="1" ht="244.5" hidden="1" customHeight="1" x14ac:dyDescent="0.2">
      <c r="B9" s="147">
        <f>SUBTOTAL(3,$C$5:C9)</f>
        <v>0</v>
      </c>
      <c r="C9" s="130" t="s">
        <v>46</v>
      </c>
      <c r="D9" s="130"/>
      <c r="E9" s="130" t="s">
        <v>72</v>
      </c>
      <c r="F9" s="130" t="s">
        <v>73</v>
      </c>
      <c r="G9" s="226">
        <v>2211882788</v>
      </c>
      <c r="H9" s="138">
        <v>611</v>
      </c>
      <c r="I9" s="138">
        <v>548</v>
      </c>
      <c r="J9" s="145">
        <f>H9-I9</f>
        <v>63</v>
      </c>
      <c r="K9" s="146">
        <f>I9/H9</f>
        <v>0.89689034369885434</v>
      </c>
      <c r="L9" s="147" t="s">
        <v>74</v>
      </c>
      <c r="M9" s="147" t="s">
        <v>50</v>
      </c>
      <c r="N9" s="201" t="s">
        <v>75</v>
      </c>
      <c r="O9" s="201" t="s">
        <v>709</v>
      </c>
      <c r="P9" s="202" t="s">
        <v>710</v>
      </c>
      <c r="Q9" s="212">
        <v>46153</v>
      </c>
      <c r="R9" s="213">
        <v>45991</v>
      </c>
      <c r="S9" s="128">
        <f t="shared" si="0"/>
        <v>-162</v>
      </c>
      <c r="T9" s="128" t="s">
        <v>768</v>
      </c>
      <c r="U9" s="128">
        <v>12</v>
      </c>
      <c r="V9" s="128" t="s">
        <v>53</v>
      </c>
      <c r="W9" s="128">
        <v>3</v>
      </c>
      <c r="X9" s="128" t="s">
        <v>53</v>
      </c>
      <c r="Y9" s="128">
        <v>19</v>
      </c>
      <c r="Z9" s="128" t="s">
        <v>53</v>
      </c>
      <c r="AA9" s="128">
        <v>41</v>
      </c>
      <c r="AB9" s="128" t="s">
        <v>53</v>
      </c>
      <c r="AC9" s="128">
        <v>23</v>
      </c>
      <c r="AD9" s="128" t="s">
        <v>53</v>
      </c>
      <c r="AE9" s="128">
        <v>-95</v>
      </c>
      <c r="AF9" s="128" t="s">
        <v>55</v>
      </c>
      <c r="AG9" s="128">
        <v>48</v>
      </c>
      <c r="AH9" s="128" t="s">
        <v>53</v>
      </c>
      <c r="AI9" s="128">
        <v>60</v>
      </c>
      <c r="AJ9" s="128" t="s">
        <v>53</v>
      </c>
      <c r="AK9" s="128">
        <v>40</v>
      </c>
      <c r="AL9" s="128" t="s">
        <v>53</v>
      </c>
      <c r="AM9" s="128">
        <v>-29</v>
      </c>
      <c r="AN9" s="128" t="s">
        <v>55</v>
      </c>
      <c r="AO9" s="128">
        <v>-43</v>
      </c>
      <c r="AP9" s="128" t="s">
        <v>55</v>
      </c>
      <c r="AQ9" s="128">
        <v>-24</v>
      </c>
      <c r="AR9" s="128" t="s">
        <v>55</v>
      </c>
      <c r="AS9" s="128">
        <v>-17</v>
      </c>
      <c r="AT9" s="128" t="s">
        <v>55</v>
      </c>
      <c r="AU9" s="128" t="s">
        <v>61</v>
      </c>
    </row>
    <row r="10" spans="2:47" s="128" customFormat="1" ht="320" hidden="1" x14ac:dyDescent="0.2">
      <c r="B10" s="147">
        <f>SUBTOTAL(3,$C$5:C10)</f>
        <v>0</v>
      </c>
      <c r="C10" s="130" t="s">
        <v>46</v>
      </c>
      <c r="D10" s="130"/>
      <c r="E10" s="130" t="s">
        <v>76</v>
      </c>
      <c r="F10" s="130" t="s">
        <v>77</v>
      </c>
      <c r="G10" s="226">
        <v>8907307436</v>
      </c>
      <c r="H10" s="138">
        <v>5094</v>
      </c>
      <c r="I10" s="138">
        <v>1841.4</v>
      </c>
      <c r="J10" s="145"/>
      <c r="K10" s="146">
        <v>1</v>
      </c>
      <c r="L10" s="147" t="s">
        <v>74</v>
      </c>
      <c r="M10" s="147" t="s">
        <v>166</v>
      </c>
      <c r="N10" s="201" t="s">
        <v>79</v>
      </c>
      <c r="O10" s="201" t="s">
        <v>722</v>
      </c>
      <c r="P10" s="202" t="s">
        <v>723</v>
      </c>
      <c r="Q10" s="212">
        <v>46098</v>
      </c>
      <c r="R10" s="213">
        <v>45900</v>
      </c>
      <c r="S10" s="128">
        <f t="shared" si="0"/>
        <v>-198</v>
      </c>
      <c r="U10" s="128">
        <v>-10</v>
      </c>
      <c r="V10" s="128" t="s">
        <v>54</v>
      </c>
      <c r="W10" s="128">
        <v>-18</v>
      </c>
      <c r="X10" s="128" t="s">
        <v>54</v>
      </c>
      <c r="Y10" s="128">
        <v>-66</v>
      </c>
      <c r="Z10" s="128" t="s">
        <v>54</v>
      </c>
      <c r="AA10" s="128">
        <v>-38</v>
      </c>
      <c r="AB10" s="128" t="s">
        <v>54</v>
      </c>
      <c r="AC10" s="128">
        <v>-68</v>
      </c>
      <c r="AD10" s="128" t="s">
        <v>54</v>
      </c>
      <c r="AE10" s="128">
        <v>-186</v>
      </c>
      <c r="AF10" s="128" t="s">
        <v>54</v>
      </c>
      <c r="AG10" s="128">
        <v>-43</v>
      </c>
      <c r="AH10" s="128" t="s">
        <v>54</v>
      </c>
      <c r="AI10" s="128">
        <v>-31</v>
      </c>
      <c r="AJ10" s="128" t="s">
        <v>54</v>
      </c>
      <c r="AK10" s="128">
        <v>-47</v>
      </c>
      <c r="AL10" s="128" t="s">
        <v>54</v>
      </c>
      <c r="AM10" s="128">
        <v>-29</v>
      </c>
      <c r="AN10" s="128" t="s">
        <v>55</v>
      </c>
      <c r="AO10" s="128">
        <v>-43</v>
      </c>
      <c r="AP10" s="128" t="s">
        <v>55</v>
      </c>
      <c r="AQ10" s="128">
        <v>-24</v>
      </c>
      <c r="AR10" s="128" t="s">
        <v>55</v>
      </c>
      <c r="AS10" s="128">
        <v>-17</v>
      </c>
      <c r="AT10" s="128" t="s">
        <v>55</v>
      </c>
      <c r="AU10" s="128" t="s">
        <v>56</v>
      </c>
    </row>
    <row r="11" spans="2:47" s="128" customFormat="1" ht="224" hidden="1" x14ac:dyDescent="0.2">
      <c r="B11" s="147">
        <f>SUBTOTAL(3,$C$5:C11)</f>
        <v>0</v>
      </c>
      <c r="C11" s="130" t="s">
        <v>46</v>
      </c>
      <c r="D11" s="130"/>
      <c r="E11" s="130" t="s">
        <v>80</v>
      </c>
      <c r="F11" s="130" t="s">
        <v>81</v>
      </c>
      <c r="G11" s="226">
        <v>29028372403</v>
      </c>
      <c r="H11" s="138">
        <v>17923</v>
      </c>
      <c r="I11" s="138">
        <v>11269</v>
      </c>
      <c r="J11" s="145">
        <f t="shared" ref="J11:J31" si="1">H11-I11</f>
        <v>6654</v>
      </c>
      <c r="K11" s="146">
        <f t="shared" ref="K11:K31" si="2">I11/H11</f>
        <v>0.62874518774758692</v>
      </c>
      <c r="L11" s="147" t="s">
        <v>82</v>
      </c>
      <c r="M11" s="147" t="s">
        <v>50</v>
      </c>
      <c r="N11" s="201" t="s">
        <v>83</v>
      </c>
      <c r="O11" s="201" t="s">
        <v>688</v>
      </c>
      <c r="P11" s="202" t="s">
        <v>724</v>
      </c>
      <c r="Q11" s="212">
        <v>46153</v>
      </c>
      <c r="R11" s="213">
        <v>45900</v>
      </c>
      <c r="S11" s="128">
        <f t="shared" si="0"/>
        <v>-253</v>
      </c>
      <c r="T11" s="128" t="s">
        <v>768</v>
      </c>
      <c r="U11" s="128">
        <v>-68</v>
      </c>
      <c r="V11" s="128" t="s">
        <v>54</v>
      </c>
      <c r="W11" s="128">
        <v>-93</v>
      </c>
      <c r="X11" s="128" t="s">
        <v>54</v>
      </c>
      <c r="Y11" s="128">
        <v>-66</v>
      </c>
      <c r="Z11" s="128" t="s">
        <v>54</v>
      </c>
      <c r="AA11" s="128">
        <v>-38</v>
      </c>
      <c r="AB11" s="128" t="s">
        <v>54</v>
      </c>
      <c r="AC11" s="128">
        <v>-106</v>
      </c>
      <c r="AD11" s="128" t="s">
        <v>54</v>
      </c>
      <c r="AE11" s="128">
        <v>-186</v>
      </c>
      <c r="AF11" s="128" t="s">
        <v>55</v>
      </c>
      <c r="AG11" s="128">
        <v>-43</v>
      </c>
      <c r="AH11" s="128" t="s">
        <v>54</v>
      </c>
      <c r="AI11" s="128">
        <v>-31</v>
      </c>
      <c r="AJ11" s="128" t="s">
        <v>54</v>
      </c>
      <c r="AK11" s="128">
        <v>-30</v>
      </c>
      <c r="AL11" s="128" t="s">
        <v>54</v>
      </c>
      <c r="AM11" s="128">
        <v>-29</v>
      </c>
      <c r="AN11" s="128" t="s">
        <v>55</v>
      </c>
      <c r="AO11" s="128">
        <v>-43</v>
      </c>
      <c r="AP11" s="128" t="s">
        <v>55</v>
      </c>
      <c r="AQ11" s="128">
        <v>-24</v>
      </c>
      <c r="AR11" s="128" t="s">
        <v>55</v>
      </c>
      <c r="AS11" s="128">
        <v>-17</v>
      </c>
      <c r="AT11" s="128" t="s">
        <v>55</v>
      </c>
      <c r="AU11" s="128" t="s">
        <v>61</v>
      </c>
    </row>
    <row r="12" spans="2:47" s="128" customFormat="1" ht="256" hidden="1" x14ac:dyDescent="0.2">
      <c r="B12" s="147">
        <f>SUBTOTAL(3,$C$5:C12)</f>
        <v>0</v>
      </c>
      <c r="C12" s="130" t="s">
        <v>46</v>
      </c>
      <c r="D12" s="130"/>
      <c r="E12" s="130" t="s">
        <v>84</v>
      </c>
      <c r="F12" s="130" t="s">
        <v>85</v>
      </c>
      <c r="G12" s="226">
        <v>45174997846</v>
      </c>
      <c r="H12" s="138">
        <v>27532</v>
      </c>
      <c r="I12" s="138">
        <v>14204</v>
      </c>
      <c r="J12" s="145">
        <f t="shared" si="1"/>
        <v>13328</v>
      </c>
      <c r="K12" s="146">
        <f t="shared" si="2"/>
        <v>0.51590876071480463</v>
      </c>
      <c r="L12" s="147" t="s">
        <v>82</v>
      </c>
      <c r="M12" s="147" t="s">
        <v>50</v>
      </c>
      <c r="N12" s="201" t="s">
        <v>86</v>
      </c>
      <c r="O12" s="214" t="s">
        <v>711</v>
      </c>
      <c r="P12" s="202" t="s">
        <v>712</v>
      </c>
      <c r="Q12" s="212">
        <v>46153</v>
      </c>
      <c r="R12" s="213">
        <v>45900</v>
      </c>
      <c r="S12" s="128">
        <f t="shared" si="0"/>
        <v>-253</v>
      </c>
      <c r="T12" s="128" t="s">
        <v>767</v>
      </c>
      <c r="U12" s="128">
        <v>-23</v>
      </c>
      <c r="V12" s="128" t="s">
        <v>54</v>
      </c>
      <c r="W12" s="128">
        <v>-36</v>
      </c>
      <c r="X12" s="128" t="s">
        <v>54</v>
      </c>
      <c r="Y12" s="128">
        <v>-74</v>
      </c>
      <c r="Z12" s="128" t="s">
        <v>54</v>
      </c>
      <c r="AA12" s="128">
        <v>-50</v>
      </c>
      <c r="AB12" s="128" t="s">
        <v>54</v>
      </c>
      <c r="AC12" s="128">
        <v>-57</v>
      </c>
      <c r="AD12" s="128" t="s">
        <v>54</v>
      </c>
      <c r="AE12" s="128">
        <v>-186</v>
      </c>
      <c r="AF12" s="128" t="s">
        <v>55</v>
      </c>
      <c r="AG12" s="128">
        <v>-43</v>
      </c>
      <c r="AH12" s="128" t="s">
        <v>54</v>
      </c>
      <c r="AI12" s="128">
        <v>-31</v>
      </c>
      <c r="AJ12" s="128" t="s">
        <v>54</v>
      </c>
      <c r="AK12" s="128">
        <v>-80</v>
      </c>
      <c r="AL12" s="128" t="s">
        <v>54</v>
      </c>
      <c r="AM12" s="128">
        <v>-29</v>
      </c>
      <c r="AN12" s="128" t="s">
        <v>55</v>
      </c>
      <c r="AO12" s="128">
        <v>-43</v>
      </c>
      <c r="AP12" s="128" t="s">
        <v>55</v>
      </c>
      <c r="AQ12" s="128">
        <v>-24</v>
      </c>
      <c r="AR12" s="128" t="s">
        <v>55</v>
      </c>
      <c r="AS12" s="128">
        <v>-17</v>
      </c>
      <c r="AT12" s="128" t="s">
        <v>55</v>
      </c>
      <c r="AU12" s="128" t="s">
        <v>56</v>
      </c>
    </row>
    <row r="13" spans="2:47" s="128" customFormat="1" ht="224" hidden="1" x14ac:dyDescent="0.2">
      <c r="B13" s="147">
        <f>SUBTOTAL(3,$C$5:C13)</f>
        <v>0</v>
      </c>
      <c r="C13" s="130" t="s">
        <v>46</v>
      </c>
      <c r="D13" s="130"/>
      <c r="E13" s="130" t="s">
        <v>88</v>
      </c>
      <c r="F13" s="130" t="s">
        <v>89</v>
      </c>
      <c r="G13" s="226">
        <v>37542785600</v>
      </c>
      <c r="H13" s="138">
        <v>24088</v>
      </c>
      <c r="I13" s="138">
        <v>19167</v>
      </c>
      <c r="J13" s="145">
        <f t="shared" si="1"/>
        <v>4921</v>
      </c>
      <c r="K13" s="146">
        <f t="shared" si="2"/>
        <v>0.7957074061773497</v>
      </c>
      <c r="L13" s="147" t="s">
        <v>82</v>
      </c>
      <c r="M13" s="147" t="s">
        <v>50</v>
      </c>
      <c r="N13" s="201" t="s">
        <v>90</v>
      </c>
      <c r="O13" s="214" t="s">
        <v>714</v>
      </c>
      <c r="P13" s="202" t="s">
        <v>599</v>
      </c>
      <c r="Q13" s="212">
        <v>46119</v>
      </c>
      <c r="R13" s="213">
        <v>45900</v>
      </c>
      <c r="S13" s="128">
        <f t="shared" si="0"/>
        <v>-219</v>
      </c>
      <c r="T13" s="128" t="s">
        <v>768</v>
      </c>
      <c r="U13" s="128">
        <v>-71</v>
      </c>
      <c r="V13" s="128" t="s">
        <v>54</v>
      </c>
      <c r="W13" s="128">
        <v>-82</v>
      </c>
      <c r="X13" s="128" t="s">
        <v>54</v>
      </c>
      <c r="Y13" s="128">
        <v>-85</v>
      </c>
      <c r="Z13" s="128" t="s">
        <v>54</v>
      </c>
      <c r="AA13" s="128">
        <v>-55</v>
      </c>
      <c r="AB13" s="128" t="s">
        <v>54</v>
      </c>
      <c r="AC13" s="128">
        <v>-59</v>
      </c>
      <c r="AD13" s="128" t="s">
        <v>54</v>
      </c>
      <c r="AE13" s="128">
        <v>-186</v>
      </c>
      <c r="AF13" s="128" t="s">
        <v>55</v>
      </c>
      <c r="AG13" s="128">
        <v>-43</v>
      </c>
      <c r="AH13" s="128" t="s">
        <v>54</v>
      </c>
      <c r="AI13" s="128">
        <v>-31</v>
      </c>
      <c r="AJ13" s="128" t="s">
        <v>54</v>
      </c>
      <c r="AK13" s="128">
        <v>-58</v>
      </c>
      <c r="AL13" s="128" t="s">
        <v>54</v>
      </c>
      <c r="AM13" s="128">
        <v>-29</v>
      </c>
      <c r="AN13" s="128" t="s">
        <v>55</v>
      </c>
      <c r="AO13" s="128">
        <v>-43</v>
      </c>
      <c r="AP13" s="128" t="s">
        <v>55</v>
      </c>
      <c r="AQ13" s="128">
        <v>-24</v>
      </c>
      <c r="AR13" s="128" t="s">
        <v>55</v>
      </c>
      <c r="AS13" s="128">
        <v>-17</v>
      </c>
      <c r="AT13" s="128" t="s">
        <v>55</v>
      </c>
      <c r="AU13" s="128" t="s">
        <v>56</v>
      </c>
    </row>
    <row r="14" spans="2:47" s="128" customFormat="1" ht="224" hidden="1" x14ac:dyDescent="0.2">
      <c r="B14" s="147">
        <f>SUBTOTAL(3,$C$5:C14)</f>
        <v>0</v>
      </c>
      <c r="C14" s="130" t="s">
        <v>46</v>
      </c>
      <c r="D14" s="130"/>
      <c r="E14" s="130" t="s">
        <v>91</v>
      </c>
      <c r="F14" s="130" t="s">
        <v>92</v>
      </c>
      <c r="G14" s="226">
        <v>35732085802</v>
      </c>
      <c r="H14" s="138">
        <v>23680</v>
      </c>
      <c r="I14" s="138">
        <v>19069</v>
      </c>
      <c r="J14" s="145">
        <f t="shared" si="1"/>
        <v>4611</v>
      </c>
      <c r="K14" s="146">
        <f t="shared" si="2"/>
        <v>0.80527871621621616</v>
      </c>
      <c r="L14" s="147" t="s">
        <v>69</v>
      </c>
      <c r="M14" s="147" t="s">
        <v>50</v>
      </c>
      <c r="N14" s="201" t="s">
        <v>93</v>
      </c>
      <c r="O14" s="214" t="s">
        <v>716</v>
      </c>
      <c r="P14" s="202" t="s">
        <v>715</v>
      </c>
      <c r="Q14" s="212">
        <v>46149</v>
      </c>
      <c r="R14" s="213">
        <v>45900</v>
      </c>
      <c r="S14" s="128">
        <f t="shared" si="0"/>
        <v>-249</v>
      </c>
      <c r="T14" s="128" t="s">
        <v>768</v>
      </c>
      <c r="U14" s="128">
        <v>-53</v>
      </c>
      <c r="V14" s="128" t="s">
        <v>54</v>
      </c>
      <c r="W14" s="128">
        <v>-60</v>
      </c>
      <c r="X14" s="128" t="s">
        <v>54</v>
      </c>
      <c r="Y14" s="128">
        <v>-71</v>
      </c>
      <c r="Z14" s="128" t="s">
        <v>54</v>
      </c>
      <c r="AA14" s="128">
        <v>-52</v>
      </c>
      <c r="AB14" s="128" t="s">
        <v>54</v>
      </c>
      <c r="AC14" s="128">
        <v>-85</v>
      </c>
      <c r="AD14" s="128" t="s">
        <v>54</v>
      </c>
      <c r="AE14" s="128">
        <v>-186</v>
      </c>
      <c r="AF14" s="128" t="s">
        <v>55</v>
      </c>
      <c r="AG14" s="128">
        <v>-43</v>
      </c>
      <c r="AH14" s="128" t="s">
        <v>54</v>
      </c>
      <c r="AI14" s="128">
        <v>-31</v>
      </c>
      <c r="AJ14" s="128" t="s">
        <v>54</v>
      </c>
      <c r="AK14" s="128">
        <v>-65</v>
      </c>
      <c r="AL14" s="128" t="s">
        <v>54</v>
      </c>
      <c r="AM14" s="128">
        <v>-29</v>
      </c>
      <c r="AN14" s="128" t="s">
        <v>55</v>
      </c>
      <c r="AO14" s="128">
        <v>-43</v>
      </c>
      <c r="AP14" s="128" t="s">
        <v>55</v>
      </c>
      <c r="AQ14" s="128">
        <v>-24</v>
      </c>
      <c r="AR14" s="128" t="s">
        <v>55</v>
      </c>
      <c r="AS14" s="128">
        <v>-17</v>
      </c>
      <c r="AT14" s="128" t="s">
        <v>55</v>
      </c>
      <c r="AU14" s="128" t="s">
        <v>61</v>
      </c>
    </row>
    <row r="15" spans="2:47" s="128" customFormat="1" ht="224" hidden="1" x14ac:dyDescent="0.2">
      <c r="B15" s="147">
        <f>SUBTOTAL(3,$C$5:C15)</f>
        <v>0</v>
      </c>
      <c r="C15" s="130" t="s">
        <v>46</v>
      </c>
      <c r="D15" s="130"/>
      <c r="E15" s="130" t="s">
        <v>94</v>
      </c>
      <c r="F15" s="130" t="s">
        <v>95</v>
      </c>
      <c r="G15" s="226">
        <v>26163678274</v>
      </c>
      <c r="H15" s="138">
        <v>13581</v>
      </c>
      <c r="I15" s="138">
        <v>6819</v>
      </c>
      <c r="J15" s="145">
        <f t="shared" si="1"/>
        <v>6762</v>
      </c>
      <c r="K15" s="146">
        <f t="shared" si="2"/>
        <v>0.50209851999116417</v>
      </c>
      <c r="L15" s="147" t="s">
        <v>82</v>
      </c>
      <c r="M15" s="147" t="s">
        <v>50</v>
      </c>
      <c r="N15" s="201" t="s">
        <v>96</v>
      </c>
      <c r="O15" s="201" t="s">
        <v>717</v>
      </c>
      <c r="P15" s="202" t="s">
        <v>725</v>
      </c>
      <c r="Q15" s="212">
        <v>46150</v>
      </c>
      <c r="R15" s="213">
        <v>45900</v>
      </c>
      <c r="S15" s="128">
        <f t="shared" si="0"/>
        <v>-250</v>
      </c>
      <c r="T15" s="128" t="s">
        <v>767</v>
      </c>
      <c r="U15" s="128">
        <v>-71</v>
      </c>
      <c r="V15" s="128" t="s">
        <v>54</v>
      </c>
      <c r="W15" s="128">
        <v>-82</v>
      </c>
      <c r="X15" s="128" t="s">
        <v>54</v>
      </c>
      <c r="Y15" s="128">
        <v>-73</v>
      </c>
      <c r="Z15" s="128" t="s">
        <v>54</v>
      </c>
      <c r="AA15" s="128">
        <v>-50</v>
      </c>
      <c r="AB15" s="128" t="s">
        <v>54</v>
      </c>
      <c r="AC15" s="128">
        <v>-51</v>
      </c>
      <c r="AD15" s="128" t="s">
        <v>54</v>
      </c>
      <c r="AE15" s="128">
        <v>-186</v>
      </c>
      <c r="AF15" s="128" t="s">
        <v>55</v>
      </c>
      <c r="AG15" s="128">
        <v>-43</v>
      </c>
      <c r="AH15" s="128" t="s">
        <v>54</v>
      </c>
      <c r="AI15" s="128">
        <v>-31</v>
      </c>
      <c r="AJ15" s="128" t="s">
        <v>54</v>
      </c>
      <c r="AK15" s="128">
        <v>-73</v>
      </c>
      <c r="AL15" s="128" t="s">
        <v>54</v>
      </c>
      <c r="AM15" s="128">
        <v>-29</v>
      </c>
      <c r="AN15" s="128" t="s">
        <v>55</v>
      </c>
      <c r="AO15" s="128">
        <v>-43</v>
      </c>
      <c r="AP15" s="128" t="s">
        <v>55</v>
      </c>
      <c r="AQ15" s="128">
        <v>-24</v>
      </c>
      <c r="AR15" s="128" t="s">
        <v>55</v>
      </c>
      <c r="AS15" s="128">
        <v>-17</v>
      </c>
      <c r="AT15" s="128" t="s">
        <v>55</v>
      </c>
      <c r="AU15" s="128" t="s">
        <v>61</v>
      </c>
    </row>
    <row r="16" spans="2:47" s="128" customFormat="1" ht="231" hidden="1" customHeight="1" x14ac:dyDescent="0.2">
      <c r="B16" s="147">
        <f>SUBTOTAL(3,$C$5:C16)</f>
        <v>0</v>
      </c>
      <c r="C16" s="130" t="s">
        <v>46</v>
      </c>
      <c r="D16" s="130"/>
      <c r="E16" s="130" t="s">
        <v>97</v>
      </c>
      <c r="F16" s="130" t="s">
        <v>98</v>
      </c>
      <c r="G16" s="226">
        <v>39965885717</v>
      </c>
      <c r="H16" s="138">
        <v>22917</v>
      </c>
      <c r="I16" s="138">
        <v>16945</v>
      </c>
      <c r="J16" s="145">
        <f t="shared" si="1"/>
        <v>5972</v>
      </c>
      <c r="K16" s="146">
        <f t="shared" si="2"/>
        <v>0.73940742680106475</v>
      </c>
      <c r="L16" s="147" t="s">
        <v>82</v>
      </c>
      <c r="M16" s="147" t="s">
        <v>50</v>
      </c>
      <c r="N16" s="201" t="s">
        <v>99</v>
      </c>
      <c r="O16" s="201" t="s">
        <v>713</v>
      </c>
      <c r="P16" s="202" t="s">
        <v>726</v>
      </c>
      <c r="Q16" s="212">
        <v>46153</v>
      </c>
      <c r="R16" s="213">
        <v>45900</v>
      </c>
      <c r="S16" s="128">
        <f t="shared" si="0"/>
        <v>-253</v>
      </c>
      <c r="T16" s="128" t="s">
        <v>768</v>
      </c>
      <c r="U16" s="128">
        <v>-23</v>
      </c>
      <c r="V16" s="128" t="s">
        <v>54</v>
      </c>
      <c r="W16" s="128">
        <v>-36</v>
      </c>
      <c r="X16" s="128" t="s">
        <v>54</v>
      </c>
      <c r="Y16" s="128">
        <v>-66</v>
      </c>
      <c r="Z16" s="128" t="s">
        <v>54</v>
      </c>
      <c r="AA16" s="128">
        <v>-37</v>
      </c>
      <c r="AB16" s="128" t="s">
        <v>54</v>
      </c>
      <c r="AC16" s="128">
        <v>-57</v>
      </c>
      <c r="AD16" s="128" t="s">
        <v>54</v>
      </c>
      <c r="AE16" s="128">
        <v>-186</v>
      </c>
      <c r="AF16" s="128" t="s">
        <v>55</v>
      </c>
      <c r="AG16" s="128">
        <v>-43</v>
      </c>
      <c r="AH16" s="128" t="s">
        <v>54</v>
      </c>
      <c r="AI16" s="128">
        <v>-31</v>
      </c>
      <c r="AJ16" s="128" t="s">
        <v>54</v>
      </c>
      <c r="AK16" s="128">
        <v>-85</v>
      </c>
      <c r="AL16" s="128" t="s">
        <v>54</v>
      </c>
      <c r="AM16" s="128">
        <v>-29</v>
      </c>
      <c r="AN16" s="128" t="s">
        <v>55</v>
      </c>
      <c r="AO16" s="128">
        <v>-43</v>
      </c>
      <c r="AP16" s="128" t="s">
        <v>55</v>
      </c>
      <c r="AQ16" s="128">
        <v>-24</v>
      </c>
      <c r="AR16" s="128" t="s">
        <v>55</v>
      </c>
      <c r="AS16" s="128">
        <v>-17</v>
      </c>
      <c r="AT16" s="128" t="s">
        <v>55</v>
      </c>
      <c r="AU16" s="128" t="s">
        <v>56</v>
      </c>
    </row>
    <row r="17" spans="2:47" s="128" customFormat="1" ht="192" hidden="1" x14ac:dyDescent="0.2">
      <c r="B17" s="147">
        <f>SUBTOTAL(3,$C$5:C17)</f>
        <v>0</v>
      </c>
      <c r="C17" s="130" t="s">
        <v>46</v>
      </c>
      <c r="D17" s="130"/>
      <c r="E17" s="130" t="s">
        <v>101</v>
      </c>
      <c r="F17" s="130" t="s">
        <v>102</v>
      </c>
      <c r="G17" s="226">
        <v>20859354660</v>
      </c>
      <c r="H17" s="138">
        <v>12786</v>
      </c>
      <c r="I17" s="138">
        <v>5835</v>
      </c>
      <c r="J17" s="145">
        <f t="shared" si="1"/>
        <v>6951</v>
      </c>
      <c r="K17" s="146">
        <f t="shared" si="2"/>
        <v>0.45635851712810888</v>
      </c>
      <c r="L17" s="147" t="s">
        <v>82</v>
      </c>
      <c r="M17" s="147" t="s">
        <v>50</v>
      </c>
      <c r="N17" s="201" t="s">
        <v>104</v>
      </c>
      <c r="O17" s="201" t="s">
        <v>718</v>
      </c>
      <c r="P17" s="202" t="s">
        <v>727</v>
      </c>
      <c r="Q17" s="212">
        <v>46107</v>
      </c>
      <c r="R17" s="213">
        <v>45900</v>
      </c>
      <c r="S17" s="128">
        <f t="shared" si="0"/>
        <v>-207</v>
      </c>
      <c r="T17" s="128" t="s">
        <v>768</v>
      </c>
      <c r="U17" s="128">
        <v>-18</v>
      </c>
      <c r="V17" s="128" t="s">
        <v>54</v>
      </c>
      <c r="W17" s="128">
        <v>-29</v>
      </c>
      <c r="X17" s="128" t="s">
        <v>54</v>
      </c>
      <c r="Y17" s="128">
        <v>-73</v>
      </c>
      <c r="Z17" s="128" t="s">
        <v>54</v>
      </c>
      <c r="AA17" s="128">
        <v>-50</v>
      </c>
      <c r="AB17" s="128" t="s">
        <v>54</v>
      </c>
      <c r="AC17" s="128">
        <v>-64</v>
      </c>
      <c r="AD17" s="128" t="s">
        <v>54</v>
      </c>
      <c r="AE17" s="128">
        <v>-186</v>
      </c>
      <c r="AF17" s="128" t="s">
        <v>55</v>
      </c>
      <c r="AG17" s="128">
        <v>-43</v>
      </c>
      <c r="AH17" s="128" t="s">
        <v>54</v>
      </c>
      <c r="AI17" s="128">
        <v>-31</v>
      </c>
      <c r="AJ17" s="128" t="s">
        <v>54</v>
      </c>
      <c r="AK17" s="128">
        <v>-86</v>
      </c>
      <c r="AL17" s="128" t="s">
        <v>54</v>
      </c>
      <c r="AM17" s="128">
        <v>-29</v>
      </c>
      <c r="AN17" s="128" t="s">
        <v>55</v>
      </c>
      <c r="AO17" s="128">
        <v>-43</v>
      </c>
      <c r="AP17" s="128" t="s">
        <v>55</v>
      </c>
      <c r="AQ17" s="128">
        <v>-24</v>
      </c>
      <c r="AR17" s="128" t="s">
        <v>55</v>
      </c>
      <c r="AS17" s="128">
        <v>-17</v>
      </c>
      <c r="AT17" s="128" t="s">
        <v>55</v>
      </c>
      <c r="AU17" s="128" t="s">
        <v>61</v>
      </c>
    </row>
    <row r="18" spans="2:47" s="128" customFormat="1" ht="192" hidden="1" x14ac:dyDescent="0.2">
      <c r="B18" s="147">
        <f>SUBTOTAL(3,$C$5:C18)</f>
        <v>0</v>
      </c>
      <c r="C18" s="130" t="s">
        <v>46</v>
      </c>
      <c r="D18" s="130"/>
      <c r="E18" s="130" t="s">
        <v>105</v>
      </c>
      <c r="F18" s="130" t="s">
        <v>106</v>
      </c>
      <c r="G18" s="226">
        <v>32722678567</v>
      </c>
      <c r="H18" s="138">
        <v>18889</v>
      </c>
      <c r="I18" s="138">
        <v>10600</v>
      </c>
      <c r="J18" s="145">
        <f t="shared" si="1"/>
        <v>8289</v>
      </c>
      <c r="K18" s="146">
        <f t="shared" si="2"/>
        <v>0.56117316956959074</v>
      </c>
      <c r="L18" s="147" t="s">
        <v>82</v>
      </c>
      <c r="M18" s="147" t="s">
        <v>50</v>
      </c>
      <c r="N18" s="201" t="s">
        <v>107</v>
      </c>
      <c r="O18" s="201" t="s">
        <v>720</v>
      </c>
      <c r="P18" s="202" t="s">
        <v>721</v>
      </c>
      <c r="Q18" s="212">
        <v>46146</v>
      </c>
      <c r="R18" s="213">
        <v>45900</v>
      </c>
      <c r="S18" s="128">
        <f t="shared" si="0"/>
        <v>-246</v>
      </c>
      <c r="T18" s="128" t="s">
        <v>768</v>
      </c>
      <c r="U18" s="128">
        <v>-71</v>
      </c>
      <c r="V18" s="128" t="s">
        <v>54</v>
      </c>
      <c r="W18" s="128">
        <v>-82</v>
      </c>
      <c r="X18" s="128" t="s">
        <v>54</v>
      </c>
      <c r="Y18" s="128">
        <v>-107</v>
      </c>
      <c r="Z18" s="128" t="s">
        <v>54</v>
      </c>
      <c r="AA18" s="128">
        <v>-37</v>
      </c>
      <c r="AB18" s="128" t="s">
        <v>54</v>
      </c>
      <c r="AC18" s="128">
        <v>-51</v>
      </c>
      <c r="AD18" s="128" t="s">
        <v>54</v>
      </c>
      <c r="AE18" s="128">
        <v>-186</v>
      </c>
      <c r="AF18" s="128" t="s">
        <v>55</v>
      </c>
      <c r="AG18" s="128">
        <v>-43</v>
      </c>
      <c r="AH18" s="128" t="s">
        <v>54</v>
      </c>
      <c r="AI18" s="128">
        <v>-31</v>
      </c>
      <c r="AJ18" s="128" t="s">
        <v>54</v>
      </c>
      <c r="AK18" s="128">
        <v>-94</v>
      </c>
      <c r="AL18" s="128" t="s">
        <v>54</v>
      </c>
      <c r="AM18" s="128">
        <v>-29</v>
      </c>
      <c r="AN18" s="128" t="s">
        <v>55</v>
      </c>
      <c r="AO18" s="128">
        <v>-43</v>
      </c>
      <c r="AP18" s="128" t="s">
        <v>55</v>
      </c>
      <c r="AQ18" s="128">
        <v>-24</v>
      </c>
      <c r="AR18" s="128" t="s">
        <v>55</v>
      </c>
      <c r="AS18" s="128">
        <v>-17</v>
      </c>
      <c r="AT18" s="128" t="s">
        <v>55</v>
      </c>
      <c r="AU18" s="128" t="s">
        <v>61</v>
      </c>
    </row>
    <row r="19" spans="2:47" s="128" customFormat="1" ht="224" hidden="1" x14ac:dyDescent="0.2">
      <c r="B19" s="147">
        <f>SUBTOTAL(3,$C$5:C19)</f>
        <v>0</v>
      </c>
      <c r="C19" s="130" t="s">
        <v>46</v>
      </c>
      <c r="D19" s="130"/>
      <c r="E19" s="130" t="s">
        <v>109</v>
      </c>
      <c r="F19" s="130" t="s">
        <v>110</v>
      </c>
      <c r="G19" s="226">
        <v>110942814797</v>
      </c>
      <c r="H19" s="138">
        <v>8837</v>
      </c>
      <c r="I19" s="138">
        <v>4653</v>
      </c>
      <c r="J19" s="145">
        <f t="shared" si="1"/>
        <v>4184</v>
      </c>
      <c r="K19" s="146">
        <f t="shared" si="2"/>
        <v>0.52653615480366645</v>
      </c>
      <c r="L19" s="147" t="s">
        <v>69</v>
      </c>
      <c r="M19" s="147" t="s">
        <v>50</v>
      </c>
      <c r="N19" s="201" t="s">
        <v>111</v>
      </c>
      <c r="O19" s="201" t="s">
        <v>758</v>
      </c>
      <c r="P19" s="202" t="s">
        <v>759</v>
      </c>
      <c r="Q19" s="212">
        <v>46066</v>
      </c>
      <c r="R19" s="213">
        <v>45900</v>
      </c>
      <c r="S19" s="128">
        <f t="shared" si="0"/>
        <v>-166</v>
      </c>
      <c r="T19" s="128" t="s">
        <v>767</v>
      </c>
      <c r="U19" s="128">
        <v>-89</v>
      </c>
      <c r="V19" s="128" t="s">
        <v>54</v>
      </c>
      <c r="W19" s="128">
        <v>104</v>
      </c>
      <c r="X19" s="128" t="s">
        <v>53</v>
      </c>
      <c r="Y19" s="128">
        <v>-90.026817129626579</v>
      </c>
      <c r="Z19" s="128" t="s">
        <v>54</v>
      </c>
      <c r="AA19" s="128">
        <v>-73</v>
      </c>
      <c r="AB19" s="128" t="s">
        <v>54</v>
      </c>
      <c r="AC19" s="128">
        <v>-88</v>
      </c>
      <c r="AD19" s="128" t="s">
        <v>54</v>
      </c>
      <c r="AE19" s="128">
        <v>-186</v>
      </c>
      <c r="AF19" s="128" t="s">
        <v>54</v>
      </c>
      <c r="AG19" s="128">
        <v>-43</v>
      </c>
      <c r="AH19" s="128" t="s">
        <v>54</v>
      </c>
      <c r="AI19" s="128">
        <v>-31</v>
      </c>
      <c r="AJ19" s="128" t="s">
        <v>54</v>
      </c>
      <c r="AK19" s="128">
        <v>-50</v>
      </c>
      <c r="AL19" s="128" t="s">
        <v>54</v>
      </c>
      <c r="AM19" s="128">
        <v>-29</v>
      </c>
      <c r="AN19" s="128" t="s">
        <v>55</v>
      </c>
      <c r="AO19" s="128">
        <v>-43</v>
      </c>
      <c r="AP19" s="128" t="s">
        <v>55</v>
      </c>
      <c r="AQ19" s="128">
        <v>-24</v>
      </c>
      <c r="AR19" s="128" t="s">
        <v>55</v>
      </c>
      <c r="AS19" s="128">
        <v>-17</v>
      </c>
      <c r="AT19" s="128" t="s">
        <v>55</v>
      </c>
      <c r="AU19" s="128" t="s">
        <v>56</v>
      </c>
    </row>
    <row r="20" spans="2:47" s="128" customFormat="1" ht="224" hidden="1" x14ac:dyDescent="0.2">
      <c r="B20" s="147">
        <f>SUBTOTAL(3,$C$5:C20)</f>
        <v>0</v>
      </c>
      <c r="C20" s="130" t="s">
        <v>46</v>
      </c>
      <c r="D20" s="130"/>
      <c r="E20" s="130" t="s">
        <v>113</v>
      </c>
      <c r="F20" s="130" t="s">
        <v>114</v>
      </c>
      <c r="G20" s="226">
        <v>21199168948</v>
      </c>
      <c r="H20" s="138">
        <v>14692</v>
      </c>
      <c r="I20" s="138">
        <v>9898</v>
      </c>
      <c r="J20" s="145">
        <f t="shared" si="1"/>
        <v>4794</v>
      </c>
      <c r="K20" s="146">
        <f t="shared" si="2"/>
        <v>0.67369997277429894</v>
      </c>
      <c r="L20" s="147" t="s">
        <v>82</v>
      </c>
      <c r="M20" s="147" t="s">
        <v>50</v>
      </c>
      <c r="N20" s="201" t="s">
        <v>115</v>
      </c>
      <c r="O20" s="201" t="s">
        <v>719</v>
      </c>
      <c r="P20" s="202" t="s">
        <v>728</v>
      </c>
      <c r="Q20" s="212">
        <v>46153</v>
      </c>
      <c r="R20" s="213">
        <v>45900</v>
      </c>
      <c r="S20" s="128">
        <f t="shared" si="0"/>
        <v>-253</v>
      </c>
      <c r="T20" s="128" t="s">
        <v>767</v>
      </c>
      <c r="U20" s="128">
        <v>18</v>
      </c>
      <c r="V20" s="128" t="s">
        <v>53</v>
      </c>
      <c r="W20" s="128">
        <v>4</v>
      </c>
      <c r="X20" s="128" t="s">
        <v>53</v>
      </c>
      <c r="Y20" s="128">
        <v>-15</v>
      </c>
      <c r="Z20" s="128" t="s">
        <v>54</v>
      </c>
      <c r="AA20" s="128">
        <v>12</v>
      </c>
      <c r="AB20" s="128" t="s">
        <v>53</v>
      </c>
      <c r="AC20" s="128">
        <v>-8</v>
      </c>
      <c r="AD20" s="128" t="s">
        <v>54</v>
      </c>
      <c r="AE20" s="128">
        <v>-186</v>
      </c>
      <c r="AF20" s="128" t="s">
        <v>55</v>
      </c>
      <c r="AG20" s="128">
        <v>209</v>
      </c>
      <c r="AH20" s="128" t="s">
        <v>53</v>
      </c>
      <c r="AI20" s="128">
        <v>216</v>
      </c>
      <c r="AJ20" s="128" t="s">
        <v>53</v>
      </c>
      <c r="AK20" s="128">
        <v>9</v>
      </c>
      <c r="AL20" s="128" t="s">
        <v>53</v>
      </c>
      <c r="AM20" s="128">
        <v>-64</v>
      </c>
      <c r="AN20" s="128" t="s">
        <v>55</v>
      </c>
      <c r="AO20" s="128">
        <v>-78</v>
      </c>
      <c r="AP20" s="128" t="s">
        <v>55</v>
      </c>
      <c r="AQ20" s="128">
        <v>-59</v>
      </c>
      <c r="AR20" s="128" t="s">
        <v>55</v>
      </c>
      <c r="AS20" s="128">
        <v>-52</v>
      </c>
      <c r="AT20" s="128" t="s">
        <v>55</v>
      </c>
      <c r="AU20" s="128" t="s">
        <v>56</v>
      </c>
    </row>
    <row r="21" spans="2:47" s="128" customFormat="1" ht="256" x14ac:dyDescent="0.2">
      <c r="B21" s="147">
        <f>SUBTOTAL(3,$C$5:C21)</f>
        <v>1</v>
      </c>
      <c r="C21" s="130" t="s">
        <v>117</v>
      </c>
      <c r="D21" s="130"/>
      <c r="E21" s="130" t="s">
        <v>118</v>
      </c>
      <c r="F21" s="130" t="s">
        <v>119</v>
      </c>
      <c r="G21" s="226">
        <v>47547203012</v>
      </c>
      <c r="H21" s="138">
        <v>3780</v>
      </c>
      <c r="I21" s="138">
        <v>3954</v>
      </c>
      <c r="J21" s="145">
        <f t="shared" si="1"/>
        <v>-174</v>
      </c>
      <c r="K21" s="146">
        <f t="shared" si="2"/>
        <v>1.0460317460317461</v>
      </c>
      <c r="L21" s="147" t="s">
        <v>82</v>
      </c>
      <c r="M21" s="147" t="s">
        <v>50</v>
      </c>
      <c r="N21" s="201" t="s">
        <v>120</v>
      </c>
      <c r="O21" s="201" t="s">
        <v>649</v>
      </c>
      <c r="P21" s="215" t="s">
        <v>733</v>
      </c>
      <c r="Q21" s="212">
        <v>46098</v>
      </c>
      <c r="R21" s="213">
        <v>45865</v>
      </c>
      <c r="S21" s="128">
        <f t="shared" si="0"/>
        <v>-233</v>
      </c>
      <c r="T21" s="128" t="s">
        <v>769</v>
      </c>
      <c r="U21" s="128">
        <v>52</v>
      </c>
      <c r="V21" s="128" t="s">
        <v>53</v>
      </c>
      <c r="W21" s="128">
        <v>40</v>
      </c>
      <c r="X21" s="128" t="s">
        <v>53</v>
      </c>
      <c r="Y21" s="128">
        <v>45</v>
      </c>
      <c r="Z21" s="128" t="s">
        <v>53</v>
      </c>
      <c r="AA21" s="128">
        <v>45</v>
      </c>
      <c r="AB21" s="128" t="s">
        <v>53</v>
      </c>
      <c r="AC21" s="128">
        <v>-68</v>
      </c>
      <c r="AD21" s="128" t="s">
        <v>54</v>
      </c>
      <c r="AE21" s="128">
        <v>-221</v>
      </c>
      <c r="AF21" s="128" t="s">
        <v>55</v>
      </c>
      <c r="AG21" s="128">
        <v>-35</v>
      </c>
      <c r="AH21" s="128" t="s">
        <v>54</v>
      </c>
      <c r="AI21" s="128">
        <v>-28</v>
      </c>
      <c r="AJ21" s="128" t="s">
        <v>54</v>
      </c>
      <c r="AK21" s="128">
        <v>-24</v>
      </c>
      <c r="AL21" s="128" t="s">
        <v>54</v>
      </c>
      <c r="AM21" s="128">
        <v>-120</v>
      </c>
      <c r="AN21" s="128" t="s">
        <v>55</v>
      </c>
      <c r="AO21" s="128">
        <v>-134</v>
      </c>
      <c r="AP21" s="128" t="s">
        <v>55</v>
      </c>
      <c r="AQ21" s="128">
        <v>-115</v>
      </c>
      <c r="AR21" s="128" t="s">
        <v>55</v>
      </c>
      <c r="AS21" s="128">
        <v>-99</v>
      </c>
      <c r="AT21" s="128" t="s">
        <v>55</v>
      </c>
      <c r="AU21" s="128" t="s">
        <v>56</v>
      </c>
    </row>
    <row r="22" spans="2:47" s="128" customFormat="1" ht="160" x14ac:dyDescent="0.2">
      <c r="B22" s="147">
        <f>SUBTOTAL(3,$C$5:C22)</f>
        <v>2</v>
      </c>
      <c r="C22" s="130" t="s">
        <v>117</v>
      </c>
      <c r="D22" s="130"/>
      <c r="E22" s="130" t="s">
        <v>122</v>
      </c>
      <c r="F22" s="130" t="s">
        <v>123</v>
      </c>
      <c r="G22" s="226">
        <v>17702853748</v>
      </c>
      <c r="H22" s="138">
        <v>1162</v>
      </c>
      <c r="I22" s="138">
        <v>590</v>
      </c>
      <c r="J22" s="145">
        <f t="shared" si="1"/>
        <v>572</v>
      </c>
      <c r="K22" s="146">
        <f t="shared" si="2"/>
        <v>0.50774526678141141</v>
      </c>
      <c r="L22" s="147" t="s">
        <v>82</v>
      </c>
      <c r="M22" s="147" t="s">
        <v>50</v>
      </c>
      <c r="N22" s="201" t="s">
        <v>124</v>
      </c>
      <c r="O22" s="201" t="s">
        <v>667</v>
      </c>
      <c r="P22" s="215" t="s">
        <v>733</v>
      </c>
      <c r="Q22" s="212">
        <v>46113</v>
      </c>
      <c r="R22" s="213">
        <v>45865</v>
      </c>
      <c r="S22" s="128">
        <f t="shared" si="0"/>
        <v>-248</v>
      </c>
      <c r="T22" s="128" t="s">
        <v>769</v>
      </c>
      <c r="U22" s="128">
        <v>52</v>
      </c>
      <c r="V22" s="128" t="s">
        <v>53</v>
      </c>
      <c r="W22" s="128">
        <v>40</v>
      </c>
      <c r="X22" s="128" t="s">
        <v>53</v>
      </c>
      <c r="Y22" s="128">
        <v>44</v>
      </c>
      <c r="Z22" s="128" t="s">
        <v>53</v>
      </c>
      <c r="AA22" s="128">
        <v>44</v>
      </c>
      <c r="AB22" s="128" t="s">
        <v>53</v>
      </c>
      <c r="AC22" s="128">
        <v>-29</v>
      </c>
      <c r="AD22" s="128" t="s">
        <v>54</v>
      </c>
      <c r="AE22" s="128">
        <v>-221</v>
      </c>
      <c r="AF22" s="128" t="s">
        <v>55</v>
      </c>
      <c r="AG22" s="128">
        <v>-35</v>
      </c>
      <c r="AH22" s="128" t="s">
        <v>54</v>
      </c>
      <c r="AI22" s="128">
        <v>-28</v>
      </c>
      <c r="AJ22" s="128" t="s">
        <v>54</v>
      </c>
      <c r="AK22" s="128">
        <v>-26</v>
      </c>
      <c r="AL22" s="128" t="s">
        <v>54</v>
      </c>
      <c r="AM22" s="128">
        <v>-120</v>
      </c>
      <c r="AN22" s="128" t="s">
        <v>55</v>
      </c>
      <c r="AO22" s="128">
        <v>-134</v>
      </c>
      <c r="AP22" s="128" t="s">
        <v>55</v>
      </c>
      <c r="AQ22" s="128">
        <v>-115</v>
      </c>
      <c r="AR22" s="128" t="s">
        <v>55</v>
      </c>
      <c r="AS22" s="128">
        <v>-99</v>
      </c>
      <c r="AT22" s="128" t="s">
        <v>55</v>
      </c>
      <c r="AU22" s="128" t="s">
        <v>61</v>
      </c>
    </row>
    <row r="23" spans="2:47" s="128" customFormat="1" ht="224" x14ac:dyDescent="0.2">
      <c r="B23" s="147">
        <f>SUBTOTAL(3,$C$5:C23)</f>
        <v>3</v>
      </c>
      <c r="C23" s="130" t="s">
        <v>117</v>
      </c>
      <c r="D23" s="130"/>
      <c r="E23" s="130" t="s">
        <v>125</v>
      </c>
      <c r="F23" s="130" t="s">
        <v>126</v>
      </c>
      <c r="G23" s="226">
        <v>983838843</v>
      </c>
      <c r="H23" s="138">
        <v>18</v>
      </c>
      <c r="I23" s="138">
        <v>1</v>
      </c>
      <c r="J23" s="145">
        <f t="shared" si="1"/>
        <v>17</v>
      </c>
      <c r="K23" s="146">
        <f t="shared" si="2"/>
        <v>5.5555555555555552E-2</v>
      </c>
      <c r="L23" s="147" t="s">
        <v>82</v>
      </c>
      <c r="M23" s="147" t="s">
        <v>50</v>
      </c>
      <c r="N23" s="201" t="s">
        <v>128</v>
      </c>
      <c r="O23" s="201" t="s">
        <v>668</v>
      </c>
      <c r="P23" s="215" t="s">
        <v>734</v>
      </c>
      <c r="Q23" s="212">
        <v>46098</v>
      </c>
      <c r="R23" s="213">
        <v>45956</v>
      </c>
      <c r="S23" s="128">
        <f t="shared" si="0"/>
        <v>-142</v>
      </c>
      <c r="T23" s="128" t="s">
        <v>769</v>
      </c>
      <c r="U23" s="128">
        <v>68</v>
      </c>
      <c r="V23" s="128" t="s">
        <v>53</v>
      </c>
      <c r="W23" s="128">
        <v>62</v>
      </c>
      <c r="X23" s="128" t="s">
        <v>53</v>
      </c>
      <c r="Y23" s="128">
        <v>86.30607638888614</v>
      </c>
      <c r="Z23" s="128" t="s">
        <v>53</v>
      </c>
      <c r="AA23" s="128">
        <v>85.988854166665988</v>
      </c>
      <c r="AB23" s="128" t="s">
        <v>53</v>
      </c>
      <c r="AC23" s="128">
        <v>43.708333333335759</v>
      </c>
      <c r="AD23" s="128" t="s">
        <v>53</v>
      </c>
      <c r="AE23" s="128">
        <v>-130</v>
      </c>
      <c r="AF23" s="128" t="s">
        <v>55</v>
      </c>
      <c r="AG23" s="128">
        <v>56</v>
      </c>
      <c r="AH23" s="128" t="s">
        <v>53</v>
      </c>
      <c r="AI23" s="128">
        <v>63</v>
      </c>
      <c r="AJ23" s="128" t="s">
        <v>53</v>
      </c>
      <c r="AK23" s="128">
        <v>-110</v>
      </c>
      <c r="AL23" s="128" t="s">
        <v>54</v>
      </c>
      <c r="AM23" s="128">
        <v>-120</v>
      </c>
      <c r="AN23" s="128" t="s">
        <v>55</v>
      </c>
      <c r="AO23" s="128">
        <v>-127</v>
      </c>
      <c r="AP23" s="128" t="s">
        <v>55</v>
      </c>
      <c r="AQ23" s="128">
        <v>-115</v>
      </c>
      <c r="AR23" s="128" t="s">
        <v>55</v>
      </c>
      <c r="AS23" s="128">
        <v>-108</v>
      </c>
      <c r="AT23" s="128" t="s">
        <v>55</v>
      </c>
      <c r="AU23" s="128" t="s">
        <v>56</v>
      </c>
    </row>
    <row r="24" spans="2:47" s="128" customFormat="1" ht="224" x14ac:dyDescent="0.2">
      <c r="B24" s="147">
        <f>SUBTOTAL(3,$C$5:C24)</f>
        <v>4</v>
      </c>
      <c r="C24" s="130" t="s">
        <v>117</v>
      </c>
      <c r="D24" s="130"/>
      <c r="E24" s="130" t="s">
        <v>129</v>
      </c>
      <c r="F24" s="130" t="s">
        <v>130</v>
      </c>
      <c r="G24" s="226">
        <v>224679205</v>
      </c>
      <c r="H24" s="138">
        <v>1</v>
      </c>
      <c r="I24" s="138">
        <v>1</v>
      </c>
      <c r="J24" s="145">
        <f t="shared" si="1"/>
        <v>0</v>
      </c>
      <c r="K24" s="146">
        <f t="shared" si="2"/>
        <v>1</v>
      </c>
      <c r="L24" s="147" t="s">
        <v>82</v>
      </c>
      <c r="M24" s="147" t="s">
        <v>50</v>
      </c>
      <c r="N24" s="201" t="s">
        <v>131</v>
      </c>
      <c r="O24" s="201" t="s">
        <v>669</v>
      </c>
      <c r="P24" s="215" t="s">
        <v>734</v>
      </c>
      <c r="Q24" s="212">
        <v>46098</v>
      </c>
      <c r="R24" s="213">
        <v>45956</v>
      </c>
      <c r="S24" s="128">
        <f t="shared" si="0"/>
        <v>-142</v>
      </c>
      <c r="T24" s="128" t="s">
        <v>769</v>
      </c>
      <c r="U24" s="128">
        <v>47</v>
      </c>
      <c r="V24" s="128" t="s">
        <v>53</v>
      </c>
      <c r="W24" s="128">
        <v>40</v>
      </c>
      <c r="X24" s="128" t="s">
        <v>53</v>
      </c>
      <c r="Y24" s="128">
        <v>83</v>
      </c>
      <c r="Z24" s="128" t="s">
        <v>53</v>
      </c>
      <c r="AA24" s="128">
        <v>82</v>
      </c>
      <c r="AB24" s="128" t="s">
        <v>53</v>
      </c>
      <c r="AC24" s="128">
        <v>32</v>
      </c>
      <c r="AD24" s="128" t="s">
        <v>53</v>
      </c>
      <c r="AE24" s="128">
        <v>-130</v>
      </c>
      <c r="AF24" s="128" t="s">
        <v>55</v>
      </c>
      <c r="AG24" s="128">
        <v>56</v>
      </c>
      <c r="AH24" s="128" t="s">
        <v>53</v>
      </c>
      <c r="AI24" s="128">
        <v>63</v>
      </c>
      <c r="AJ24" s="128" t="s">
        <v>53</v>
      </c>
      <c r="AK24" s="128">
        <v>-110</v>
      </c>
      <c r="AL24" s="128" t="s">
        <v>54</v>
      </c>
      <c r="AM24" s="128">
        <v>-120</v>
      </c>
      <c r="AN24" s="128" t="s">
        <v>55</v>
      </c>
      <c r="AO24" s="128">
        <v>-127</v>
      </c>
      <c r="AP24" s="128" t="s">
        <v>55</v>
      </c>
      <c r="AQ24" s="128">
        <v>-115</v>
      </c>
      <c r="AR24" s="128" t="s">
        <v>55</v>
      </c>
      <c r="AS24" s="128">
        <v>-108</v>
      </c>
      <c r="AT24" s="128" t="s">
        <v>55</v>
      </c>
      <c r="AU24" s="128" t="s">
        <v>61</v>
      </c>
    </row>
    <row r="25" spans="2:47" s="128" customFormat="1" ht="264" hidden="1" customHeight="1" x14ac:dyDescent="0.2">
      <c r="B25" s="147">
        <f>SUBTOTAL(3,$C$5:C25)</f>
        <v>4</v>
      </c>
      <c r="C25" s="130" t="s">
        <v>117</v>
      </c>
      <c r="D25" s="130"/>
      <c r="E25" s="130" t="s">
        <v>132</v>
      </c>
      <c r="F25" s="130" t="s">
        <v>133</v>
      </c>
      <c r="G25" s="226">
        <v>9781028172</v>
      </c>
      <c r="H25" s="216">
        <v>6146</v>
      </c>
      <c r="I25" s="138">
        <v>5983</v>
      </c>
      <c r="J25" s="145">
        <f t="shared" si="1"/>
        <v>163</v>
      </c>
      <c r="K25" s="217">
        <f t="shared" si="2"/>
        <v>0.97347868532378778</v>
      </c>
      <c r="L25" s="147" t="s">
        <v>51</v>
      </c>
      <c r="M25" s="147" t="s">
        <v>50</v>
      </c>
      <c r="N25" s="201" t="s">
        <v>134</v>
      </c>
      <c r="O25" s="201" t="s">
        <v>650</v>
      </c>
      <c r="P25" s="168" t="s">
        <v>735</v>
      </c>
      <c r="Q25" s="212">
        <v>46122</v>
      </c>
      <c r="R25" s="213">
        <v>45837</v>
      </c>
      <c r="S25" s="128">
        <f t="shared" si="0"/>
        <v>-285</v>
      </c>
      <c r="T25" s="128" t="s">
        <v>767</v>
      </c>
      <c r="U25" s="128">
        <v>20</v>
      </c>
      <c r="V25" s="128" t="s">
        <v>53</v>
      </c>
      <c r="W25" s="128">
        <v>13</v>
      </c>
      <c r="X25" s="128" t="s">
        <v>53</v>
      </c>
      <c r="Y25" s="128">
        <v>24</v>
      </c>
      <c r="Z25" s="128" t="s">
        <v>53</v>
      </c>
      <c r="AA25" s="128">
        <v>23</v>
      </c>
      <c r="AB25" s="128" t="s">
        <v>53</v>
      </c>
      <c r="AC25" s="128">
        <v>-60</v>
      </c>
      <c r="AD25" s="128" t="s">
        <v>54</v>
      </c>
      <c r="AE25" s="128">
        <v>-249</v>
      </c>
      <c r="AF25" s="128" t="s">
        <v>55</v>
      </c>
      <c r="AG25" s="128">
        <v>-63</v>
      </c>
      <c r="AH25" s="128" t="s">
        <v>54</v>
      </c>
      <c r="AI25" s="128">
        <v>-56</v>
      </c>
      <c r="AJ25" s="128" t="s">
        <v>54</v>
      </c>
      <c r="AK25" s="128">
        <v>-52</v>
      </c>
      <c r="AL25" s="128" t="s">
        <v>54</v>
      </c>
      <c r="AM25" s="128">
        <v>-120</v>
      </c>
      <c r="AN25" s="128" t="s">
        <v>55</v>
      </c>
      <c r="AO25" s="128">
        <v>-134</v>
      </c>
      <c r="AP25" s="128" t="s">
        <v>55</v>
      </c>
      <c r="AQ25" s="128">
        <v>-115</v>
      </c>
      <c r="AR25" s="128" t="s">
        <v>55</v>
      </c>
      <c r="AS25" s="128">
        <v>-99</v>
      </c>
      <c r="AT25" s="128" t="s">
        <v>55</v>
      </c>
      <c r="AU25" s="128" t="s">
        <v>56</v>
      </c>
    </row>
    <row r="26" spans="2:47" s="128" customFormat="1" ht="186.5" hidden="1" customHeight="1" x14ac:dyDescent="0.2">
      <c r="B26" s="147">
        <f>SUBTOTAL(3,$C$5:C26)</f>
        <v>4</v>
      </c>
      <c r="C26" s="130" t="s">
        <v>117</v>
      </c>
      <c r="D26" s="130"/>
      <c r="E26" s="130" t="s">
        <v>136</v>
      </c>
      <c r="F26" s="130" t="s">
        <v>137</v>
      </c>
      <c r="G26" s="226">
        <v>17649963246</v>
      </c>
      <c r="H26" s="138">
        <v>11420</v>
      </c>
      <c r="I26" s="138">
        <v>10078</v>
      </c>
      <c r="J26" s="145">
        <f t="shared" si="1"/>
        <v>1342</v>
      </c>
      <c r="K26" s="146">
        <f t="shared" si="2"/>
        <v>0.88248686514886165</v>
      </c>
      <c r="L26" s="147" t="s">
        <v>51</v>
      </c>
      <c r="M26" s="147" t="s">
        <v>50</v>
      </c>
      <c r="N26" s="201" t="s">
        <v>138</v>
      </c>
      <c r="O26" s="201" t="s">
        <v>651</v>
      </c>
      <c r="P26" s="168" t="s">
        <v>736</v>
      </c>
      <c r="Q26" s="212">
        <v>46122</v>
      </c>
      <c r="R26" s="213">
        <v>45837</v>
      </c>
      <c r="S26" s="128">
        <f t="shared" si="0"/>
        <v>-285</v>
      </c>
      <c r="T26" s="128" t="s">
        <v>767</v>
      </c>
      <c r="U26" s="128">
        <v>20</v>
      </c>
      <c r="V26" s="128" t="s">
        <v>53</v>
      </c>
      <c r="W26" s="128">
        <v>12</v>
      </c>
      <c r="X26" s="128" t="s">
        <v>53</v>
      </c>
      <c r="Y26" s="128">
        <v>24</v>
      </c>
      <c r="Z26" s="128" t="s">
        <v>53</v>
      </c>
      <c r="AA26" s="128">
        <v>24</v>
      </c>
      <c r="AB26" s="128" t="s">
        <v>53</v>
      </c>
      <c r="AC26" s="128">
        <v>9</v>
      </c>
      <c r="AD26" s="128" t="s">
        <v>53</v>
      </c>
      <c r="AE26" s="128">
        <v>-249</v>
      </c>
      <c r="AF26" s="128" t="s">
        <v>55</v>
      </c>
      <c r="AG26" s="128">
        <v>-63</v>
      </c>
      <c r="AH26" s="128" t="s">
        <v>54</v>
      </c>
      <c r="AI26" s="128">
        <v>-56</v>
      </c>
      <c r="AJ26" s="128" t="s">
        <v>54</v>
      </c>
      <c r="AK26" s="128">
        <v>-54</v>
      </c>
      <c r="AL26" s="128" t="s">
        <v>54</v>
      </c>
      <c r="AM26" s="128">
        <v>-120</v>
      </c>
      <c r="AN26" s="128" t="s">
        <v>55</v>
      </c>
      <c r="AO26" s="128">
        <v>-134</v>
      </c>
      <c r="AP26" s="128" t="s">
        <v>55</v>
      </c>
      <c r="AQ26" s="128">
        <v>-115</v>
      </c>
      <c r="AR26" s="128" t="s">
        <v>55</v>
      </c>
      <c r="AS26" s="128">
        <v>-99</v>
      </c>
      <c r="AT26" s="128" t="s">
        <v>55</v>
      </c>
      <c r="AU26" s="128" t="s">
        <v>61</v>
      </c>
    </row>
    <row r="27" spans="2:47" s="128" customFormat="1" ht="191.5" hidden="1" customHeight="1" x14ac:dyDescent="0.2">
      <c r="B27" s="147">
        <f>SUBTOTAL(3,$C$5:C27)</f>
        <v>4</v>
      </c>
      <c r="C27" s="130" t="s">
        <v>117</v>
      </c>
      <c r="D27" s="130"/>
      <c r="E27" s="130" t="s">
        <v>140</v>
      </c>
      <c r="F27" s="130" t="s">
        <v>141</v>
      </c>
      <c r="G27" s="226">
        <v>10125135685</v>
      </c>
      <c r="H27" s="138">
        <v>6338</v>
      </c>
      <c r="I27" s="138">
        <v>6670.2</v>
      </c>
      <c r="J27" s="145">
        <f t="shared" si="1"/>
        <v>-332.19999999999982</v>
      </c>
      <c r="K27" s="146">
        <f t="shared" si="2"/>
        <v>1.0524140107289366</v>
      </c>
      <c r="L27" s="147" t="s">
        <v>51</v>
      </c>
      <c r="M27" s="147" t="s">
        <v>50</v>
      </c>
      <c r="N27" s="201" t="s">
        <v>138</v>
      </c>
      <c r="O27" s="201" t="s">
        <v>652</v>
      </c>
      <c r="P27" s="168" t="s">
        <v>737</v>
      </c>
      <c r="Q27" s="212">
        <v>46140</v>
      </c>
      <c r="R27" s="213">
        <v>45837</v>
      </c>
      <c r="S27" s="128">
        <f t="shared" si="0"/>
        <v>-303</v>
      </c>
      <c r="T27" s="128" t="s">
        <v>767</v>
      </c>
      <c r="U27" s="128">
        <v>20</v>
      </c>
      <c r="V27" s="128" t="s">
        <v>53</v>
      </c>
      <c r="W27" s="128">
        <v>13</v>
      </c>
      <c r="X27" s="128" t="s">
        <v>53</v>
      </c>
      <c r="Y27" s="128">
        <v>23</v>
      </c>
      <c r="Z27" s="128" t="s">
        <v>53</v>
      </c>
      <c r="AA27" s="128">
        <v>23</v>
      </c>
      <c r="AB27" s="128" t="s">
        <v>53</v>
      </c>
      <c r="AC27" s="128">
        <v>-50</v>
      </c>
      <c r="AD27" s="128" t="s">
        <v>54</v>
      </c>
      <c r="AE27" s="128">
        <v>-249</v>
      </c>
      <c r="AF27" s="128" t="s">
        <v>55</v>
      </c>
      <c r="AG27" s="128">
        <v>-63</v>
      </c>
      <c r="AH27" s="128" t="s">
        <v>54</v>
      </c>
      <c r="AI27" s="128">
        <v>-56</v>
      </c>
      <c r="AJ27" s="128" t="s">
        <v>54</v>
      </c>
      <c r="AK27" s="128">
        <v>-52</v>
      </c>
      <c r="AL27" s="128" t="s">
        <v>54</v>
      </c>
      <c r="AM27" s="128">
        <v>-120</v>
      </c>
      <c r="AN27" s="128" t="s">
        <v>55</v>
      </c>
      <c r="AO27" s="128">
        <v>-134</v>
      </c>
      <c r="AP27" s="128" t="s">
        <v>55</v>
      </c>
      <c r="AQ27" s="128">
        <v>-115</v>
      </c>
      <c r="AR27" s="128" t="s">
        <v>55</v>
      </c>
      <c r="AS27" s="128">
        <v>-99</v>
      </c>
      <c r="AT27" s="128" t="s">
        <v>55</v>
      </c>
      <c r="AU27" s="128" t="s">
        <v>61</v>
      </c>
    </row>
    <row r="28" spans="2:47" s="128" customFormat="1" ht="239" hidden="1" customHeight="1" x14ac:dyDescent="0.2">
      <c r="B28" s="147">
        <f>SUBTOTAL(3,$C$5:C28)</f>
        <v>4</v>
      </c>
      <c r="C28" s="130" t="s">
        <v>117</v>
      </c>
      <c r="D28" s="130"/>
      <c r="E28" s="130" t="s">
        <v>143</v>
      </c>
      <c r="F28" s="130" t="s">
        <v>144</v>
      </c>
      <c r="G28" s="226">
        <v>22251292018</v>
      </c>
      <c r="H28" s="138">
        <v>14274</v>
      </c>
      <c r="I28" s="138">
        <v>12358</v>
      </c>
      <c r="J28" s="145">
        <f t="shared" si="1"/>
        <v>1916</v>
      </c>
      <c r="K28" s="146">
        <f t="shared" si="2"/>
        <v>0.86576993134370184</v>
      </c>
      <c r="L28" s="147" t="s">
        <v>51</v>
      </c>
      <c r="M28" s="147" t="s">
        <v>50</v>
      </c>
      <c r="N28" s="201" t="s">
        <v>138</v>
      </c>
      <c r="O28" s="201" t="s">
        <v>653</v>
      </c>
      <c r="P28" s="168" t="s">
        <v>738</v>
      </c>
      <c r="Q28" s="212">
        <v>46140</v>
      </c>
      <c r="R28" s="213">
        <v>45837</v>
      </c>
      <c r="S28" s="128">
        <f t="shared" si="0"/>
        <v>-303</v>
      </c>
      <c r="T28" s="128" t="s">
        <v>767</v>
      </c>
      <c r="U28" s="128">
        <v>19</v>
      </c>
      <c r="V28" s="128" t="s">
        <v>53</v>
      </c>
      <c r="W28" s="128">
        <v>12</v>
      </c>
      <c r="X28" s="128" t="s">
        <v>53</v>
      </c>
      <c r="Y28" s="128">
        <v>23</v>
      </c>
      <c r="Z28" s="128" t="s">
        <v>53</v>
      </c>
      <c r="AA28" s="128">
        <v>24</v>
      </c>
      <c r="AB28" s="128" t="s">
        <v>53</v>
      </c>
      <c r="AC28" s="128">
        <v>-52</v>
      </c>
      <c r="AD28" s="128" t="s">
        <v>54</v>
      </c>
      <c r="AE28" s="128">
        <v>-249</v>
      </c>
      <c r="AF28" s="128" t="s">
        <v>55</v>
      </c>
      <c r="AG28" s="128">
        <v>-63</v>
      </c>
      <c r="AH28" s="128" t="s">
        <v>54</v>
      </c>
      <c r="AI28" s="128">
        <v>-56</v>
      </c>
      <c r="AJ28" s="128" t="s">
        <v>54</v>
      </c>
      <c r="AK28" s="128">
        <v>-52</v>
      </c>
      <c r="AL28" s="128" t="s">
        <v>54</v>
      </c>
      <c r="AM28" s="128">
        <v>-120</v>
      </c>
      <c r="AN28" s="128" t="s">
        <v>55</v>
      </c>
      <c r="AO28" s="128">
        <v>-134</v>
      </c>
      <c r="AP28" s="128" t="s">
        <v>55</v>
      </c>
      <c r="AQ28" s="128">
        <v>-115</v>
      </c>
      <c r="AR28" s="128" t="s">
        <v>55</v>
      </c>
      <c r="AS28" s="128">
        <v>-99</v>
      </c>
      <c r="AT28" s="128" t="s">
        <v>55</v>
      </c>
      <c r="AU28" s="128" t="s">
        <v>61</v>
      </c>
    </row>
    <row r="29" spans="2:47" s="128" customFormat="1" ht="249" customHeight="1" x14ac:dyDescent="0.2">
      <c r="B29" s="147">
        <f>SUBTOTAL(3,$C$5:C29)</f>
        <v>5</v>
      </c>
      <c r="C29" s="130" t="s">
        <v>117</v>
      </c>
      <c r="D29" s="130"/>
      <c r="E29" s="130" t="s">
        <v>146</v>
      </c>
      <c r="F29" s="130" t="s">
        <v>147</v>
      </c>
      <c r="G29" s="226">
        <v>7463167245</v>
      </c>
      <c r="H29" s="138">
        <v>4643</v>
      </c>
      <c r="I29" s="138">
        <v>3672</v>
      </c>
      <c r="J29" s="145">
        <f t="shared" si="1"/>
        <v>971</v>
      </c>
      <c r="K29" s="146">
        <f t="shared" si="2"/>
        <v>0.79086797329312941</v>
      </c>
      <c r="L29" s="147" t="s">
        <v>51</v>
      </c>
      <c r="M29" s="147" t="s">
        <v>50</v>
      </c>
      <c r="N29" s="201" t="s">
        <v>138</v>
      </c>
      <c r="O29" s="201" t="s">
        <v>654</v>
      </c>
      <c r="P29" s="168" t="s">
        <v>739</v>
      </c>
      <c r="Q29" s="212">
        <v>46098</v>
      </c>
      <c r="R29" s="213">
        <v>45837</v>
      </c>
      <c r="S29" s="128">
        <f t="shared" si="0"/>
        <v>-261</v>
      </c>
      <c r="T29" s="128" t="s">
        <v>769</v>
      </c>
      <c r="U29" s="128">
        <v>19</v>
      </c>
      <c r="V29" s="128" t="s">
        <v>53</v>
      </c>
      <c r="W29" s="128">
        <v>12</v>
      </c>
      <c r="X29" s="128" t="s">
        <v>53</v>
      </c>
      <c r="Y29" s="128">
        <v>23</v>
      </c>
      <c r="Z29" s="128" t="s">
        <v>53</v>
      </c>
      <c r="AA29" s="128">
        <v>23</v>
      </c>
      <c r="AB29" s="128" t="s">
        <v>53</v>
      </c>
      <c r="AC29" s="128">
        <v>-50</v>
      </c>
      <c r="AD29" s="128" t="s">
        <v>54</v>
      </c>
      <c r="AE29" s="128">
        <v>-249</v>
      </c>
      <c r="AF29" s="128" t="s">
        <v>55</v>
      </c>
      <c r="AG29" s="128">
        <v>-63</v>
      </c>
      <c r="AH29" s="128" t="s">
        <v>54</v>
      </c>
      <c r="AI29" s="128">
        <v>-56</v>
      </c>
      <c r="AJ29" s="128" t="s">
        <v>54</v>
      </c>
      <c r="AK29" s="128">
        <v>-81</v>
      </c>
      <c r="AL29" s="128" t="s">
        <v>54</v>
      </c>
      <c r="AM29" s="128">
        <v>-120</v>
      </c>
      <c r="AN29" s="128" t="s">
        <v>55</v>
      </c>
      <c r="AO29" s="128">
        <v>-134</v>
      </c>
      <c r="AP29" s="128" t="s">
        <v>55</v>
      </c>
      <c r="AQ29" s="128">
        <v>-115</v>
      </c>
      <c r="AR29" s="128" t="s">
        <v>55</v>
      </c>
      <c r="AS29" s="128">
        <v>-99</v>
      </c>
      <c r="AT29" s="128" t="s">
        <v>55</v>
      </c>
      <c r="AU29" s="128" t="s">
        <v>61</v>
      </c>
    </row>
    <row r="30" spans="2:47" s="128" customFormat="1" ht="281.5" hidden="1" customHeight="1" x14ac:dyDescent="0.2">
      <c r="B30" s="147">
        <f>SUBTOTAL(3,$C$5:C30)</f>
        <v>5</v>
      </c>
      <c r="C30" s="130" t="s">
        <v>117</v>
      </c>
      <c r="D30" s="130"/>
      <c r="E30" s="130" t="s">
        <v>148</v>
      </c>
      <c r="F30" s="130" t="s">
        <v>149</v>
      </c>
      <c r="G30" s="226">
        <v>562633602</v>
      </c>
      <c r="H30" s="138">
        <v>265</v>
      </c>
      <c r="I30" s="138">
        <v>251</v>
      </c>
      <c r="J30" s="145">
        <f t="shared" si="1"/>
        <v>14</v>
      </c>
      <c r="K30" s="146">
        <f t="shared" si="2"/>
        <v>0.94716981132075473</v>
      </c>
      <c r="L30" s="147" t="s">
        <v>51</v>
      </c>
      <c r="M30" s="147" t="s">
        <v>50</v>
      </c>
      <c r="N30" s="201" t="s">
        <v>150</v>
      </c>
      <c r="O30" s="130" t="s">
        <v>666</v>
      </c>
      <c r="P30" s="168" t="s">
        <v>655</v>
      </c>
      <c r="Q30" s="212">
        <v>46146</v>
      </c>
      <c r="R30" s="213">
        <v>45928</v>
      </c>
      <c r="S30" s="128">
        <f t="shared" si="0"/>
        <v>-218</v>
      </c>
      <c r="T30" s="128" t="s">
        <v>768</v>
      </c>
      <c r="U30" s="128">
        <v>48</v>
      </c>
      <c r="V30" s="128" t="s">
        <v>53</v>
      </c>
      <c r="W30" s="128">
        <v>47</v>
      </c>
      <c r="X30" s="128" t="s">
        <v>53</v>
      </c>
      <c r="Y30" s="128">
        <v>33</v>
      </c>
      <c r="Z30" s="128" t="s">
        <v>53</v>
      </c>
      <c r="AA30" s="128">
        <v>61</v>
      </c>
      <c r="AB30" s="128" t="s">
        <v>53</v>
      </c>
      <c r="AC30" s="128">
        <v>12</v>
      </c>
      <c r="AD30" s="128" t="s">
        <v>53</v>
      </c>
      <c r="AE30" s="128">
        <v>-158</v>
      </c>
      <c r="AF30" s="128" t="s">
        <v>55</v>
      </c>
      <c r="AG30" s="128">
        <v>-59</v>
      </c>
      <c r="AH30" s="128" t="s">
        <v>54</v>
      </c>
      <c r="AI30" s="128">
        <v>-52</v>
      </c>
      <c r="AJ30" s="128" t="s">
        <v>54</v>
      </c>
      <c r="AK30" s="128">
        <v>-52</v>
      </c>
      <c r="AL30" s="128" t="s">
        <v>54</v>
      </c>
      <c r="AM30" s="128">
        <v>-183</v>
      </c>
      <c r="AN30" s="128" t="s">
        <v>55</v>
      </c>
      <c r="AO30" s="128">
        <v>-183</v>
      </c>
      <c r="AP30" s="128" t="s">
        <v>55</v>
      </c>
      <c r="AQ30" s="128">
        <v>-178</v>
      </c>
      <c r="AR30" s="128" t="s">
        <v>55</v>
      </c>
      <c r="AS30" s="128">
        <v>-171</v>
      </c>
      <c r="AT30" s="128" t="s">
        <v>55</v>
      </c>
      <c r="AU30" s="128" t="s">
        <v>61</v>
      </c>
    </row>
    <row r="31" spans="2:47" s="128" customFormat="1" ht="205.5" hidden="1" customHeight="1" x14ac:dyDescent="0.2">
      <c r="B31" s="147">
        <f>SUBTOTAL(3,$C$5:C31)</f>
        <v>5</v>
      </c>
      <c r="C31" s="130" t="s">
        <v>117</v>
      </c>
      <c r="D31" s="130"/>
      <c r="E31" s="130" t="s">
        <v>151</v>
      </c>
      <c r="F31" s="130" t="s">
        <v>152</v>
      </c>
      <c r="G31" s="226">
        <v>2899780730</v>
      </c>
      <c r="H31" s="216">
        <v>697</v>
      </c>
      <c r="I31" s="138">
        <v>719</v>
      </c>
      <c r="J31" s="145">
        <f t="shared" si="1"/>
        <v>-22</v>
      </c>
      <c r="K31" s="217">
        <f t="shared" si="2"/>
        <v>1.0315638450502151</v>
      </c>
      <c r="L31" s="147" t="s">
        <v>51</v>
      </c>
      <c r="M31" s="147" t="s">
        <v>50</v>
      </c>
      <c r="N31" s="201" t="s">
        <v>153</v>
      </c>
      <c r="O31" s="130" t="s">
        <v>656</v>
      </c>
      <c r="P31" s="168" t="s">
        <v>658</v>
      </c>
      <c r="Q31" s="212">
        <v>46146</v>
      </c>
      <c r="R31" s="213">
        <v>45984</v>
      </c>
      <c r="S31" s="128">
        <f t="shared" si="0"/>
        <v>-162</v>
      </c>
      <c r="T31" s="128" t="s">
        <v>768</v>
      </c>
      <c r="U31" s="128">
        <v>110</v>
      </c>
      <c r="V31" s="128" t="s">
        <v>53</v>
      </c>
      <c r="W31" s="128">
        <v>90</v>
      </c>
      <c r="X31" s="128" t="s">
        <v>53</v>
      </c>
      <c r="Y31" s="128">
        <v>99</v>
      </c>
      <c r="Z31" s="128" t="s">
        <v>53</v>
      </c>
      <c r="AA31" s="128">
        <v>120</v>
      </c>
      <c r="AB31" s="128" t="s">
        <v>53</v>
      </c>
      <c r="AC31" s="128">
        <v>-33</v>
      </c>
      <c r="AD31" s="128" t="s">
        <v>54</v>
      </c>
      <c r="AE31" s="128">
        <v>-102</v>
      </c>
      <c r="AF31" s="128" t="s">
        <v>55</v>
      </c>
      <c r="AG31" s="128">
        <v>36</v>
      </c>
      <c r="AH31" s="128" t="s">
        <v>53</v>
      </c>
      <c r="AI31" s="128">
        <v>43</v>
      </c>
      <c r="AJ31" s="128" t="s">
        <v>53</v>
      </c>
      <c r="AK31" s="128">
        <v>25</v>
      </c>
      <c r="AL31" s="128" t="s">
        <v>53</v>
      </c>
      <c r="AM31" s="128">
        <v>-120</v>
      </c>
      <c r="AN31" s="128" t="s">
        <v>55</v>
      </c>
      <c r="AO31" s="128">
        <v>-120</v>
      </c>
      <c r="AP31" s="128" t="s">
        <v>55</v>
      </c>
      <c r="AQ31" s="128">
        <v>-115</v>
      </c>
      <c r="AR31" s="128" t="s">
        <v>55</v>
      </c>
      <c r="AS31" s="128">
        <v>-108</v>
      </c>
      <c r="AT31" s="128" t="s">
        <v>55</v>
      </c>
      <c r="AU31" s="128" t="s">
        <v>61</v>
      </c>
    </row>
    <row r="32" spans="2:47" s="128" customFormat="1" ht="288" hidden="1" x14ac:dyDescent="0.2">
      <c r="B32" s="147">
        <f>SUBTOTAL(3,$C$5:C32)</f>
        <v>5</v>
      </c>
      <c r="C32" s="130" t="s">
        <v>117</v>
      </c>
      <c r="D32" s="130"/>
      <c r="E32" s="130" t="s">
        <v>154</v>
      </c>
      <c r="F32" s="130" t="s">
        <v>155</v>
      </c>
      <c r="G32" s="226">
        <v>216162043</v>
      </c>
      <c r="H32" s="216">
        <v>163</v>
      </c>
      <c r="I32" s="138">
        <v>207</v>
      </c>
      <c r="J32" s="145"/>
      <c r="K32" s="217">
        <v>1</v>
      </c>
      <c r="L32" s="147" t="s">
        <v>156</v>
      </c>
      <c r="M32" s="147" t="s">
        <v>166</v>
      </c>
      <c r="N32" s="201" t="s">
        <v>157</v>
      </c>
      <c r="O32" s="130" t="s">
        <v>657</v>
      </c>
      <c r="P32" s="168" t="s">
        <v>741</v>
      </c>
      <c r="Q32" s="212">
        <v>46153</v>
      </c>
      <c r="R32" s="213">
        <v>45956</v>
      </c>
      <c r="S32" s="128">
        <f t="shared" si="0"/>
        <v>-197</v>
      </c>
      <c r="U32" s="128">
        <v>83</v>
      </c>
      <c r="V32" s="128" t="s">
        <v>53</v>
      </c>
      <c r="W32" s="128">
        <v>66</v>
      </c>
      <c r="X32" s="128" t="s">
        <v>53</v>
      </c>
      <c r="Y32" s="128">
        <v>82</v>
      </c>
      <c r="Z32" s="128" t="s">
        <v>53</v>
      </c>
      <c r="AA32" s="128">
        <v>103</v>
      </c>
      <c r="AB32" s="128" t="s">
        <v>53</v>
      </c>
      <c r="AC32" s="128">
        <v>52</v>
      </c>
      <c r="AD32" s="128" t="s">
        <v>53</v>
      </c>
      <c r="AE32" s="128">
        <v>-130</v>
      </c>
      <c r="AF32" s="128" t="s">
        <v>55</v>
      </c>
      <c r="AG32" s="128">
        <v>-31</v>
      </c>
      <c r="AH32" s="128" t="s">
        <v>54</v>
      </c>
      <c r="AI32" s="128">
        <v>-24</v>
      </c>
      <c r="AJ32" s="128" t="s">
        <v>54</v>
      </c>
      <c r="AK32" s="128">
        <v>-26</v>
      </c>
      <c r="AL32" s="128" t="s">
        <v>54</v>
      </c>
      <c r="AM32" s="128">
        <v>-148</v>
      </c>
      <c r="AN32" s="128" t="s">
        <v>55</v>
      </c>
      <c r="AO32" s="128">
        <v>-148</v>
      </c>
      <c r="AP32" s="128" t="s">
        <v>55</v>
      </c>
      <c r="AQ32" s="128">
        <v>-143</v>
      </c>
      <c r="AR32" s="128" t="s">
        <v>55</v>
      </c>
      <c r="AS32" s="128">
        <v>-136</v>
      </c>
      <c r="AT32" s="128" t="s">
        <v>55</v>
      </c>
      <c r="AU32" s="128" t="s">
        <v>61</v>
      </c>
    </row>
    <row r="33" spans="2:47" s="128" customFormat="1" ht="288" hidden="1" x14ac:dyDescent="0.2">
      <c r="B33" s="147">
        <f>SUBTOTAL(3,$C$5:C33)</f>
        <v>5</v>
      </c>
      <c r="C33" s="130" t="s">
        <v>117</v>
      </c>
      <c r="D33" s="130"/>
      <c r="E33" s="130" t="s">
        <v>158</v>
      </c>
      <c r="F33" s="130" t="s">
        <v>159</v>
      </c>
      <c r="G33" s="226">
        <v>636530022</v>
      </c>
      <c r="H33" s="216">
        <v>446</v>
      </c>
      <c r="I33" s="138">
        <v>480</v>
      </c>
      <c r="J33" s="145"/>
      <c r="K33" s="217">
        <v>1</v>
      </c>
      <c r="L33" s="147" t="s">
        <v>156</v>
      </c>
      <c r="M33" s="147" t="s">
        <v>166</v>
      </c>
      <c r="N33" s="201" t="s">
        <v>160</v>
      </c>
      <c r="O33" s="130" t="s">
        <v>657</v>
      </c>
      <c r="P33" s="168" t="s">
        <v>740</v>
      </c>
      <c r="Q33" s="212">
        <v>46134</v>
      </c>
      <c r="R33" s="213">
        <v>45956</v>
      </c>
      <c r="S33" s="128">
        <f t="shared" si="0"/>
        <v>-178</v>
      </c>
      <c r="U33" s="128">
        <v>83</v>
      </c>
      <c r="V33" s="128" t="s">
        <v>53</v>
      </c>
      <c r="W33" s="128">
        <v>62</v>
      </c>
      <c r="X33" s="128" t="s">
        <v>53</v>
      </c>
      <c r="Y33" s="128">
        <v>75</v>
      </c>
      <c r="Z33" s="128" t="s">
        <v>53</v>
      </c>
      <c r="AA33" s="128">
        <v>96</v>
      </c>
      <c r="AB33" s="128" t="s">
        <v>53</v>
      </c>
      <c r="AC33" s="128">
        <v>52</v>
      </c>
      <c r="AD33" s="128" t="s">
        <v>53</v>
      </c>
      <c r="AE33" s="128">
        <v>-130</v>
      </c>
      <c r="AF33" s="128" t="s">
        <v>55</v>
      </c>
      <c r="AG33" s="128">
        <v>34</v>
      </c>
      <c r="AH33" s="128" t="s">
        <v>53</v>
      </c>
      <c r="AI33" s="128">
        <v>41</v>
      </c>
      <c r="AJ33" s="128" t="s">
        <v>53</v>
      </c>
      <c r="AK33" s="128">
        <v>40</v>
      </c>
      <c r="AL33" s="128" t="s">
        <v>53</v>
      </c>
      <c r="AM33" s="128">
        <v>-120</v>
      </c>
      <c r="AN33" s="128" t="s">
        <v>55</v>
      </c>
      <c r="AO33" s="128">
        <v>-127</v>
      </c>
      <c r="AP33" s="128" t="s">
        <v>55</v>
      </c>
      <c r="AQ33" s="128">
        <v>-115</v>
      </c>
      <c r="AR33" s="128" t="s">
        <v>55</v>
      </c>
      <c r="AS33" s="128">
        <v>-108</v>
      </c>
      <c r="AT33" s="128" t="s">
        <v>55</v>
      </c>
      <c r="AU33" s="128" t="s">
        <v>56</v>
      </c>
    </row>
    <row r="34" spans="2:47" s="128" customFormat="1" ht="288" hidden="1" x14ac:dyDescent="0.2">
      <c r="B34" s="147">
        <f>SUBTOTAL(3,$C$5:C34)</f>
        <v>5</v>
      </c>
      <c r="C34" s="136" t="s">
        <v>117</v>
      </c>
      <c r="D34" s="136"/>
      <c r="E34" s="136" t="s">
        <v>161</v>
      </c>
      <c r="F34" s="136" t="s">
        <v>162</v>
      </c>
      <c r="G34" s="226">
        <v>347707099</v>
      </c>
      <c r="H34" s="144">
        <v>218</v>
      </c>
      <c r="I34" s="138">
        <v>0</v>
      </c>
      <c r="J34" s="154">
        <f>H34-I34</f>
        <v>218</v>
      </c>
      <c r="K34" s="155">
        <f>I34/H34</f>
        <v>0</v>
      </c>
      <c r="L34" s="156" t="s">
        <v>156</v>
      </c>
      <c r="M34" s="156" t="s">
        <v>294</v>
      </c>
      <c r="N34" s="218" t="s">
        <v>163</v>
      </c>
      <c r="O34" s="136" t="s">
        <v>389</v>
      </c>
      <c r="P34" s="219" t="s">
        <v>294</v>
      </c>
      <c r="Q34" s="212">
        <v>46112</v>
      </c>
      <c r="R34" s="213">
        <v>45984</v>
      </c>
      <c r="S34" s="128">
        <f t="shared" si="0"/>
        <v>-128</v>
      </c>
      <c r="U34" s="128">
        <v>110</v>
      </c>
      <c r="V34" s="128" t="s">
        <v>53</v>
      </c>
      <c r="W34" s="128">
        <v>94</v>
      </c>
      <c r="X34" s="128" t="s">
        <v>53</v>
      </c>
      <c r="Y34" s="128">
        <v>110</v>
      </c>
      <c r="Z34" s="128" t="s">
        <v>53</v>
      </c>
      <c r="AA34" s="128">
        <v>131</v>
      </c>
      <c r="AB34" s="128" t="s">
        <v>53</v>
      </c>
      <c r="AC34" s="128">
        <v>80</v>
      </c>
      <c r="AD34" s="128" t="s">
        <v>53</v>
      </c>
      <c r="AE34" s="128">
        <v>-102</v>
      </c>
      <c r="AF34" s="128" t="s">
        <v>55</v>
      </c>
      <c r="AG34" s="128">
        <v>-3</v>
      </c>
      <c r="AH34" s="128" t="s">
        <v>54</v>
      </c>
      <c r="AI34" s="128">
        <v>4</v>
      </c>
      <c r="AJ34" s="128" t="s">
        <v>53</v>
      </c>
      <c r="AK34" s="128">
        <v>2</v>
      </c>
      <c r="AL34" s="128" t="s">
        <v>53</v>
      </c>
      <c r="AM34" s="128">
        <v>-120</v>
      </c>
      <c r="AN34" s="128" t="s">
        <v>55</v>
      </c>
      <c r="AO34" s="128">
        <v>-120</v>
      </c>
      <c r="AP34" s="128" t="s">
        <v>55</v>
      </c>
      <c r="AQ34" s="128">
        <v>-115</v>
      </c>
      <c r="AR34" s="128" t="s">
        <v>55</v>
      </c>
      <c r="AS34" s="128">
        <v>-108</v>
      </c>
      <c r="AT34" s="128" t="s">
        <v>55</v>
      </c>
      <c r="AU34" s="128" t="s">
        <v>61</v>
      </c>
    </row>
    <row r="35" spans="2:47" s="128" customFormat="1" ht="192" hidden="1" x14ac:dyDescent="0.2">
      <c r="B35" s="147">
        <f>SUBTOTAL(3,$C$5:C35)</f>
        <v>5</v>
      </c>
      <c r="C35" s="130" t="s">
        <v>117</v>
      </c>
      <c r="D35" s="130"/>
      <c r="E35" s="130" t="s">
        <v>164</v>
      </c>
      <c r="F35" s="130" t="s">
        <v>165</v>
      </c>
      <c r="G35" s="226">
        <v>190642074</v>
      </c>
      <c r="H35" s="138">
        <v>52</v>
      </c>
      <c r="I35" s="138">
        <v>71</v>
      </c>
      <c r="J35" s="145"/>
      <c r="K35" s="146">
        <v>1</v>
      </c>
      <c r="L35" s="147" t="s">
        <v>156</v>
      </c>
      <c r="M35" s="147" t="s">
        <v>166</v>
      </c>
      <c r="N35" s="201" t="s">
        <v>167</v>
      </c>
      <c r="O35" s="130" t="s">
        <v>657</v>
      </c>
      <c r="P35" s="130" t="s">
        <v>742</v>
      </c>
      <c r="Q35" s="212">
        <v>46093</v>
      </c>
      <c r="R35" s="213">
        <v>45984</v>
      </c>
      <c r="S35" s="128">
        <f t="shared" si="0"/>
        <v>-109</v>
      </c>
      <c r="U35" s="128">
        <v>110</v>
      </c>
      <c r="V35" s="128" t="s">
        <v>53</v>
      </c>
      <c r="W35" s="128">
        <v>90</v>
      </c>
      <c r="X35" s="128" t="s">
        <v>53</v>
      </c>
      <c r="Y35" s="128">
        <v>103</v>
      </c>
      <c r="Z35" s="128" t="s">
        <v>53</v>
      </c>
      <c r="AA35" s="128">
        <v>124</v>
      </c>
      <c r="AB35" s="128" t="s">
        <v>53</v>
      </c>
      <c r="AC35" s="128">
        <v>80</v>
      </c>
      <c r="AD35" s="128" t="s">
        <v>53</v>
      </c>
      <c r="AE35" s="128">
        <v>-102</v>
      </c>
      <c r="AF35" s="128" t="s">
        <v>55</v>
      </c>
      <c r="AG35" s="128">
        <v>-1</v>
      </c>
      <c r="AH35" s="128" t="s">
        <v>54</v>
      </c>
      <c r="AI35" s="128">
        <v>6</v>
      </c>
      <c r="AJ35" s="128" t="s">
        <v>53</v>
      </c>
      <c r="AK35" s="128">
        <v>12</v>
      </c>
      <c r="AL35" s="128" t="s">
        <v>53</v>
      </c>
      <c r="AM35" s="128">
        <v>-120</v>
      </c>
      <c r="AN35" s="128" t="s">
        <v>55</v>
      </c>
      <c r="AO35" s="128">
        <v>-120</v>
      </c>
      <c r="AP35" s="128" t="s">
        <v>55</v>
      </c>
      <c r="AQ35" s="128">
        <v>-115</v>
      </c>
      <c r="AR35" s="128" t="s">
        <v>55</v>
      </c>
      <c r="AS35" s="128">
        <v>-108</v>
      </c>
      <c r="AT35" s="128" t="s">
        <v>55</v>
      </c>
      <c r="AU35" s="128" t="s">
        <v>61</v>
      </c>
    </row>
    <row r="36" spans="2:47" s="128" customFormat="1" ht="273" hidden="1" customHeight="1" x14ac:dyDescent="0.2">
      <c r="B36" s="147">
        <f>SUBTOTAL(3,$C$5:C36)</f>
        <v>5</v>
      </c>
      <c r="C36" s="130" t="s">
        <v>117</v>
      </c>
      <c r="D36" s="130"/>
      <c r="E36" s="130" t="s">
        <v>168</v>
      </c>
      <c r="F36" s="130" t="s">
        <v>169</v>
      </c>
      <c r="G36" s="226">
        <v>106576466</v>
      </c>
      <c r="H36" s="216">
        <v>59</v>
      </c>
      <c r="I36" s="138">
        <v>35</v>
      </c>
      <c r="J36" s="145"/>
      <c r="K36" s="217">
        <v>1</v>
      </c>
      <c r="L36" s="147" t="s">
        <v>156</v>
      </c>
      <c r="M36" s="147" t="s">
        <v>166</v>
      </c>
      <c r="N36" s="201" t="s">
        <v>170</v>
      </c>
      <c r="O36" s="130" t="s">
        <v>657</v>
      </c>
      <c r="P36" s="168" t="s">
        <v>743</v>
      </c>
      <c r="Q36" s="212">
        <v>46093</v>
      </c>
      <c r="R36" s="213">
        <v>45984</v>
      </c>
      <c r="S36" s="128">
        <f t="shared" si="0"/>
        <v>-109</v>
      </c>
      <c r="U36" s="128">
        <v>110</v>
      </c>
      <c r="V36" s="128" t="s">
        <v>53</v>
      </c>
      <c r="W36" s="128">
        <v>94</v>
      </c>
      <c r="X36" s="128" t="s">
        <v>53</v>
      </c>
      <c r="Y36" s="128">
        <v>111</v>
      </c>
      <c r="Z36" s="128" t="s">
        <v>53</v>
      </c>
      <c r="AA36" s="128">
        <v>132</v>
      </c>
      <c r="AB36" s="128" t="s">
        <v>53</v>
      </c>
      <c r="AC36" s="128">
        <v>80</v>
      </c>
      <c r="AD36" s="128" t="s">
        <v>53</v>
      </c>
      <c r="AE36" s="128">
        <v>-102</v>
      </c>
      <c r="AF36" s="128" t="s">
        <v>55</v>
      </c>
      <c r="AG36" s="128">
        <v>-1</v>
      </c>
      <c r="AH36" s="128" t="s">
        <v>54</v>
      </c>
      <c r="AI36" s="128">
        <v>6</v>
      </c>
      <c r="AJ36" s="128" t="s">
        <v>53</v>
      </c>
      <c r="AK36" s="128">
        <v>13</v>
      </c>
      <c r="AL36" s="128" t="s">
        <v>53</v>
      </c>
      <c r="AM36" s="128">
        <v>-120</v>
      </c>
      <c r="AN36" s="128" t="s">
        <v>55</v>
      </c>
      <c r="AO36" s="128">
        <v>-120</v>
      </c>
      <c r="AP36" s="128" t="s">
        <v>55</v>
      </c>
      <c r="AQ36" s="128">
        <v>-115</v>
      </c>
      <c r="AR36" s="128" t="s">
        <v>55</v>
      </c>
      <c r="AS36" s="128">
        <v>-108</v>
      </c>
      <c r="AT36" s="128" t="s">
        <v>55</v>
      </c>
      <c r="AU36" s="128" t="s">
        <v>61</v>
      </c>
    </row>
    <row r="37" spans="2:47" s="128" customFormat="1" ht="288" hidden="1" x14ac:dyDescent="0.2">
      <c r="B37" s="147">
        <f>SUBTOTAL(3,$C$5:C37)</f>
        <v>5</v>
      </c>
      <c r="C37" s="130" t="s">
        <v>117</v>
      </c>
      <c r="D37" s="130"/>
      <c r="E37" s="130" t="s">
        <v>171</v>
      </c>
      <c r="F37" s="130" t="s">
        <v>172</v>
      </c>
      <c r="G37" s="226">
        <v>1117663079</v>
      </c>
      <c r="H37" s="138">
        <v>667</v>
      </c>
      <c r="I37" s="138">
        <v>574.20000000000005</v>
      </c>
      <c r="J37" s="145">
        <f>H37-I37</f>
        <v>92.799999999999955</v>
      </c>
      <c r="K37" s="146">
        <f>I37/H37</f>
        <v>0.86086956521739133</v>
      </c>
      <c r="L37" s="147" t="s">
        <v>173</v>
      </c>
      <c r="M37" s="147" t="s">
        <v>50</v>
      </c>
      <c r="N37" s="201" t="s">
        <v>174</v>
      </c>
      <c r="O37" s="201" t="s">
        <v>659</v>
      </c>
      <c r="P37" s="168" t="s">
        <v>662</v>
      </c>
      <c r="Q37" s="212">
        <v>46135</v>
      </c>
      <c r="R37" s="213">
        <v>45956</v>
      </c>
      <c r="S37" s="128">
        <f t="shared" si="0"/>
        <v>-179</v>
      </c>
      <c r="T37" s="128" t="s">
        <v>768</v>
      </c>
      <c r="U37" s="128">
        <v>45</v>
      </c>
      <c r="V37" s="128" t="s">
        <v>53</v>
      </c>
      <c r="W37" s="128">
        <v>40</v>
      </c>
      <c r="X37" s="128" t="s">
        <v>53</v>
      </c>
      <c r="Y37" s="128">
        <v>60</v>
      </c>
      <c r="Z37" s="128" t="s">
        <v>53</v>
      </c>
      <c r="AA37" s="128">
        <v>81</v>
      </c>
      <c r="AB37" s="128" t="s">
        <v>53</v>
      </c>
      <c r="AC37" s="128">
        <v>11</v>
      </c>
      <c r="AD37" s="128" t="s">
        <v>53</v>
      </c>
      <c r="AE37" s="128">
        <v>-141</v>
      </c>
      <c r="AF37" s="128" t="s">
        <v>55</v>
      </c>
      <c r="AG37" s="128">
        <v>34</v>
      </c>
      <c r="AH37" s="128" t="s">
        <v>53</v>
      </c>
      <c r="AI37" s="128">
        <v>41</v>
      </c>
      <c r="AJ37" s="128" t="s">
        <v>53</v>
      </c>
      <c r="AK37" s="128">
        <v>41</v>
      </c>
      <c r="AL37" s="128" t="s">
        <v>53</v>
      </c>
      <c r="AM37" s="128">
        <v>-120</v>
      </c>
      <c r="AN37" s="128" t="s">
        <v>55</v>
      </c>
      <c r="AO37" s="128">
        <v>-127</v>
      </c>
      <c r="AP37" s="128" t="s">
        <v>55</v>
      </c>
      <c r="AQ37" s="128">
        <v>-115</v>
      </c>
      <c r="AR37" s="128" t="s">
        <v>55</v>
      </c>
      <c r="AS37" s="128">
        <v>-108</v>
      </c>
      <c r="AT37" s="128" t="s">
        <v>55</v>
      </c>
      <c r="AU37" s="128" t="s">
        <v>56</v>
      </c>
    </row>
    <row r="38" spans="2:47" s="128" customFormat="1" ht="320" hidden="1" x14ac:dyDescent="0.2">
      <c r="B38" s="147">
        <f>SUBTOTAL(3,$C$5:C38)</f>
        <v>5</v>
      </c>
      <c r="C38" s="130" t="s">
        <v>117</v>
      </c>
      <c r="D38" s="130"/>
      <c r="E38" s="130" t="s">
        <v>176</v>
      </c>
      <c r="F38" s="130" t="s">
        <v>177</v>
      </c>
      <c r="G38" s="226">
        <v>2140671314</v>
      </c>
      <c r="H38" s="138">
        <v>375</v>
      </c>
      <c r="I38" s="138">
        <v>282</v>
      </c>
      <c r="J38" s="145">
        <f>H38-I38</f>
        <v>93</v>
      </c>
      <c r="K38" s="146">
        <f>I38/H38</f>
        <v>0.752</v>
      </c>
      <c r="L38" s="147" t="s">
        <v>173</v>
      </c>
      <c r="M38" s="147" t="s">
        <v>50</v>
      </c>
      <c r="N38" s="201" t="s">
        <v>178</v>
      </c>
      <c r="O38" s="130" t="s">
        <v>660</v>
      </c>
      <c r="P38" s="168" t="s">
        <v>661</v>
      </c>
      <c r="Q38" s="212">
        <v>46135</v>
      </c>
      <c r="R38" s="213">
        <v>45956</v>
      </c>
      <c r="S38" s="128">
        <f t="shared" si="0"/>
        <v>-179</v>
      </c>
      <c r="T38" s="128" t="s">
        <v>768</v>
      </c>
      <c r="U38" s="128">
        <v>45</v>
      </c>
      <c r="V38" s="128" t="s">
        <v>53</v>
      </c>
      <c r="W38" s="128">
        <v>40</v>
      </c>
      <c r="X38" s="128" t="s">
        <v>53</v>
      </c>
      <c r="Y38" s="128">
        <v>61</v>
      </c>
      <c r="Z38" s="128" t="s">
        <v>53</v>
      </c>
      <c r="AA38" s="128">
        <v>81</v>
      </c>
      <c r="AB38" s="128" t="s">
        <v>53</v>
      </c>
      <c r="AC38" s="128">
        <v>11</v>
      </c>
      <c r="AD38" s="128" t="s">
        <v>53</v>
      </c>
      <c r="AE38" s="128">
        <v>-141</v>
      </c>
      <c r="AF38" s="128" t="s">
        <v>55</v>
      </c>
      <c r="AG38" s="128">
        <v>34</v>
      </c>
      <c r="AH38" s="128" t="s">
        <v>53</v>
      </c>
      <c r="AI38" s="128">
        <v>41</v>
      </c>
      <c r="AJ38" s="128" t="s">
        <v>53</v>
      </c>
      <c r="AK38" s="128">
        <v>41</v>
      </c>
      <c r="AL38" s="128" t="s">
        <v>53</v>
      </c>
      <c r="AM38" s="128">
        <v>-120</v>
      </c>
      <c r="AN38" s="128" t="s">
        <v>55</v>
      </c>
      <c r="AO38" s="128">
        <v>-127</v>
      </c>
      <c r="AP38" s="128" t="s">
        <v>55</v>
      </c>
      <c r="AQ38" s="128">
        <v>-115</v>
      </c>
      <c r="AR38" s="128" t="s">
        <v>55</v>
      </c>
      <c r="AS38" s="128">
        <v>-108</v>
      </c>
      <c r="AT38" s="128" t="s">
        <v>55</v>
      </c>
      <c r="AU38" s="128" t="s">
        <v>61</v>
      </c>
    </row>
    <row r="39" spans="2:47" s="128" customFormat="1" ht="229.5" hidden="1" customHeight="1" x14ac:dyDescent="0.2">
      <c r="B39" s="147">
        <f>SUBTOTAL(3,$C$5:C39)</f>
        <v>5</v>
      </c>
      <c r="C39" s="130" t="s">
        <v>117</v>
      </c>
      <c r="D39" s="130"/>
      <c r="E39" s="130" t="s">
        <v>179</v>
      </c>
      <c r="F39" s="130" t="s">
        <v>180</v>
      </c>
      <c r="G39" s="226">
        <v>6653875358</v>
      </c>
      <c r="H39" s="216">
        <v>4259</v>
      </c>
      <c r="I39" s="138">
        <v>3705.66</v>
      </c>
      <c r="J39" s="145"/>
      <c r="K39" s="217">
        <v>1</v>
      </c>
      <c r="L39" s="147" t="s">
        <v>173</v>
      </c>
      <c r="M39" s="147" t="s">
        <v>166</v>
      </c>
      <c r="N39" s="201" t="s">
        <v>181</v>
      </c>
      <c r="O39" s="130" t="s">
        <v>657</v>
      </c>
      <c r="P39" s="168" t="s">
        <v>744</v>
      </c>
      <c r="Q39" s="212">
        <v>46114</v>
      </c>
      <c r="R39" s="213">
        <v>45956</v>
      </c>
      <c r="S39" s="128">
        <f t="shared" si="0"/>
        <v>-158</v>
      </c>
      <c r="U39" s="128">
        <v>45</v>
      </c>
      <c r="V39" s="128" t="s">
        <v>53</v>
      </c>
      <c r="W39" s="128">
        <v>34</v>
      </c>
      <c r="X39" s="128" t="s">
        <v>53</v>
      </c>
      <c r="Y39" s="128">
        <v>11</v>
      </c>
      <c r="Z39" s="128" t="s">
        <v>53</v>
      </c>
      <c r="AA39" s="128">
        <v>32</v>
      </c>
      <c r="AB39" s="128" t="s">
        <v>53</v>
      </c>
      <c r="AC39" s="128">
        <v>-22</v>
      </c>
      <c r="AD39" s="128" t="s">
        <v>54</v>
      </c>
      <c r="AE39" s="128">
        <v>-141</v>
      </c>
      <c r="AF39" s="128" t="s">
        <v>55</v>
      </c>
      <c r="AG39" s="128">
        <v>8</v>
      </c>
      <c r="AH39" s="128" t="s">
        <v>53</v>
      </c>
      <c r="AI39" s="128">
        <v>15</v>
      </c>
      <c r="AJ39" s="128" t="s">
        <v>53</v>
      </c>
      <c r="AK39" s="128">
        <v>9</v>
      </c>
      <c r="AL39" s="128" t="s">
        <v>53</v>
      </c>
      <c r="AM39" s="128">
        <v>-29</v>
      </c>
      <c r="AN39" s="128" t="s">
        <v>55</v>
      </c>
      <c r="AO39" s="128">
        <v>-43</v>
      </c>
      <c r="AP39" s="128" t="s">
        <v>55</v>
      </c>
      <c r="AQ39" s="128">
        <v>-24</v>
      </c>
      <c r="AR39" s="128" t="s">
        <v>55</v>
      </c>
      <c r="AS39" s="128">
        <v>-8</v>
      </c>
      <c r="AT39" s="128" t="s">
        <v>55</v>
      </c>
      <c r="AU39" s="128" t="s">
        <v>61</v>
      </c>
    </row>
    <row r="40" spans="2:47" s="128" customFormat="1" ht="224" hidden="1" x14ac:dyDescent="0.2">
      <c r="B40" s="147">
        <f>SUBTOTAL(3,$C$5:C40)</f>
        <v>5</v>
      </c>
      <c r="C40" s="130" t="s">
        <v>117</v>
      </c>
      <c r="D40" s="130"/>
      <c r="E40" s="130" t="s">
        <v>182</v>
      </c>
      <c r="F40" s="130" t="s">
        <v>183</v>
      </c>
      <c r="G40" s="226">
        <v>263884511</v>
      </c>
      <c r="H40" s="138">
        <v>116</v>
      </c>
      <c r="I40" s="138">
        <v>120</v>
      </c>
      <c r="J40" s="145"/>
      <c r="K40" s="146">
        <v>1</v>
      </c>
      <c r="L40" s="147" t="s">
        <v>51</v>
      </c>
      <c r="M40" s="147" t="s">
        <v>64</v>
      </c>
      <c r="N40" s="201" t="s">
        <v>184</v>
      </c>
      <c r="O40" s="201" t="s">
        <v>663</v>
      </c>
      <c r="P40" s="168" t="s">
        <v>664</v>
      </c>
      <c r="Q40" s="212">
        <v>46147</v>
      </c>
      <c r="R40" s="213">
        <v>45984</v>
      </c>
      <c r="S40" s="128">
        <f t="shared" si="0"/>
        <v>-163</v>
      </c>
      <c r="T40" s="128" t="s">
        <v>768</v>
      </c>
      <c r="U40" s="128">
        <v>34</v>
      </c>
      <c r="V40" s="128" t="s">
        <v>53</v>
      </c>
      <c r="W40" s="128">
        <v>27</v>
      </c>
      <c r="X40" s="128" t="s">
        <v>53</v>
      </c>
      <c r="Y40" s="128">
        <v>-8</v>
      </c>
      <c r="Z40" s="128" t="s">
        <v>54</v>
      </c>
      <c r="AA40" s="128">
        <v>13</v>
      </c>
      <c r="AB40" s="128" t="s">
        <v>53</v>
      </c>
      <c r="AC40" s="128">
        <v>4</v>
      </c>
      <c r="AD40" s="128" t="s">
        <v>53</v>
      </c>
      <c r="AE40" s="128">
        <v>-113</v>
      </c>
      <c r="AF40" s="128" t="s">
        <v>55</v>
      </c>
      <c r="AG40" s="128">
        <v>-1</v>
      </c>
      <c r="AH40" s="128" t="s">
        <v>54</v>
      </c>
      <c r="AI40" s="128">
        <v>6</v>
      </c>
      <c r="AJ40" s="128" t="s">
        <v>53</v>
      </c>
      <c r="AK40" s="128">
        <v>13</v>
      </c>
      <c r="AL40" s="128" t="s">
        <v>53</v>
      </c>
      <c r="AM40" s="128">
        <v>-120</v>
      </c>
      <c r="AN40" s="128" t="s">
        <v>55</v>
      </c>
      <c r="AO40" s="128">
        <v>-120</v>
      </c>
      <c r="AP40" s="128" t="s">
        <v>55</v>
      </c>
      <c r="AQ40" s="128">
        <v>-115</v>
      </c>
      <c r="AR40" s="128" t="s">
        <v>55</v>
      </c>
      <c r="AS40" s="128">
        <v>-108</v>
      </c>
      <c r="AT40" s="128" t="s">
        <v>55</v>
      </c>
      <c r="AU40" s="128" t="s">
        <v>61</v>
      </c>
    </row>
    <row r="41" spans="2:47" s="128" customFormat="1" ht="256" hidden="1" x14ac:dyDescent="0.2">
      <c r="B41" s="147">
        <f>SUBTOTAL(3,$C$5:C41)</f>
        <v>5</v>
      </c>
      <c r="C41" s="130" t="s">
        <v>117</v>
      </c>
      <c r="D41" s="130"/>
      <c r="E41" s="130" t="s">
        <v>185</v>
      </c>
      <c r="F41" s="130" t="s">
        <v>186</v>
      </c>
      <c r="G41" s="226">
        <v>431444798</v>
      </c>
      <c r="H41" s="138">
        <v>317</v>
      </c>
      <c r="I41" s="138">
        <v>262</v>
      </c>
      <c r="J41" s="145"/>
      <c r="K41" s="146">
        <v>1</v>
      </c>
      <c r="L41" s="147" t="s">
        <v>51</v>
      </c>
      <c r="M41" s="147" t="s">
        <v>166</v>
      </c>
      <c r="N41" s="201" t="s">
        <v>187</v>
      </c>
      <c r="O41" s="130" t="s">
        <v>657</v>
      </c>
      <c r="P41" s="168" t="s">
        <v>745</v>
      </c>
      <c r="Q41" s="212">
        <v>46114</v>
      </c>
      <c r="R41" s="213">
        <v>45991</v>
      </c>
      <c r="S41" s="128">
        <f t="shared" si="0"/>
        <v>-123</v>
      </c>
      <c r="U41" s="128">
        <v>28</v>
      </c>
      <c r="V41" s="128" t="s">
        <v>53</v>
      </c>
      <c r="W41" s="128">
        <v>-33</v>
      </c>
      <c r="X41" s="128" t="s">
        <v>54</v>
      </c>
      <c r="Y41" s="128">
        <v>-8</v>
      </c>
      <c r="Z41" s="128" t="s">
        <v>54</v>
      </c>
      <c r="AA41" s="128">
        <v>20</v>
      </c>
      <c r="AB41" s="128" t="s">
        <v>53</v>
      </c>
      <c r="AC41" s="128">
        <v>-3</v>
      </c>
      <c r="AD41" s="128" t="s">
        <v>54</v>
      </c>
      <c r="AE41" s="128">
        <v>-106</v>
      </c>
      <c r="AF41" s="128" t="s">
        <v>55</v>
      </c>
      <c r="AG41" s="128">
        <v>43</v>
      </c>
      <c r="AH41" s="128" t="s">
        <v>53</v>
      </c>
      <c r="AI41" s="128">
        <v>50</v>
      </c>
      <c r="AJ41" s="128" t="s">
        <v>53</v>
      </c>
      <c r="AK41" s="128">
        <v>33</v>
      </c>
      <c r="AL41" s="128" t="s">
        <v>53</v>
      </c>
      <c r="AM41" s="128">
        <v>-92</v>
      </c>
      <c r="AN41" s="128" t="s">
        <v>55</v>
      </c>
      <c r="AO41" s="128">
        <v>-99</v>
      </c>
      <c r="AP41" s="128" t="s">
        <v>55</v>
      </c>
      <c r="AQ41" s="128">
        <v>-87</v>
      </c>
      <c r="AR41" s="128" t="s">
        <v>55</v>
      </c>
      <c r="AS41" s="128">
        <v>-80</v>
      </c>
      <c r="AT41" s="128" t="s">
        <v>55</v>
      </c>
      <c r="AU41" s="128" t="s">
        <v>61</v>
      </c>
    </row>
    <row r="42" spans="2:47" s="128" customFormat="1" ht="192" hidden="1" x14ac:dyDescent="0.2">
      <c r="B42" s="147">
        <f>SUBTOTAL(3,$C$5:C42)</f>
        <v>5</v>
      </c>
      <c r="C42" s="130" t="s">
        <v>117</v>
      </c>
      <c r="D42" s="130"/>
      <c r="E42" s="130" t="s">
        <v>188</v>
      </c>
      <c r="F42" s="130" t="s">
        <v>189</v>
      </c>
      <c r="G42" s="226">
        <v>422044898</v>
      </c>
      <c r="H42" s="138">
        <v>234</v>
      </c>
      <c r="I42" s="138">
        <v>160</v>
      </c>
      <c r="J42" s="145">
        <f>H42-I42</f>
        <v>74</v>
      </c>
      <c r="K42" s="146">
        <f>I42/H42</f>
        <v>0.68376068376068377</v>
      </c>
      <c r="L42" s="147" t="s">
        <v>51</v>
      </c>
      <c r="M42" s="147" t="s">
        <v>687</v>
      </c>
      <c r="N42" s="201" t="s">
        <v>190</v>
      </c>
      <c r="O42" s="130" t="s">
        <v>665</v>
      </c>
      <c r="P42" s="168" t="s">
        <v>746</v>
      </c>
      <c r="Q42" s="212">
        <v>46146</v>
      </c>
      <c r="R42" s="213">
        <v>46047</v>
      </c>
      <c r="S42" s="128">
        <f t="shared" si="0"/>
        <v>-99</v>
      </c>
      <c r="U42" s="128">
        <v>17</v>
      </c>
      <c r="V42" s="128" t="s">
        <v>53</v>
      </c>
      <c r="W42" s="128">
        <v>10</v>
      </c>
      <c r="X42" s="128" t="s">
        <v>53</v>
      </c>
      <c r="Y42" s="128">
        <v>88</v>
      </c>
      <c r="Z42" s="128" t="s">
        <v>53</v>
      </c>
      <c r="AA42" s="128">
        <v>109</v>
      </c>
      <c r="AB42" s="128" t="s">
        <v>53</v>
      </c>
      <c r="AC42" s="128">
        <v>93</v>
      </c>
      <c r="AD42" s="128" t="s">
        <v>53</v>
      </c>
      <c r="AE42" s="128">
        <v>-50</v>
      </c>
      <c r="AF42" s="128" t="s">
        <v>55</v>
      </c>
      <c r="AG42" s="128">
        <v>99</v>
      </c>
      <c r="AH42" s="128" t="s">
        <v>53</v>
      </c>
      <c r="AI42" s="128">
        <v>106</v>
      </c>
      <c r="AJ42" s="128" t="s">
        <v>53</v>
      </c>
      <c r="AK42" s="128">
        <v>103</v>
      </c>
      <c r="AL42" s="128" t="s">
        <v>53</v>
      </c>
      <c r="AM42" s="128">
        <v>-57</v>
      </c>
      <c r="AN42" s="128" t="s">
        <v>55</v>
      </c>
      <c r="AO42" s="128">
        <v>-64</v>
      </c>
      <c r="AP42" s="128" t="s">
        <v>55</v>
      </c>
      <c r="AQ42" s="128">
        <v>-59</v>
      </c>
      <c r="AR42" s="128" t="s">
        <v>55</v>
      </c>
      <c r="AS42" s="128">
        <v>-52</v>
      </c>
      <c r="AT42" s="128" t="s">
        <v>55</v>
      </c>
      <c r="AU42" s="128" t="s">
        <v>61</v>
      </c>
    </row>
    <row r="43" spans="2:47" s="128" customFormat="1" ht="305.5" hidden="1" customHeight="1" x14ac:dyDescent="0.2">
      <c r="B43" s="147">
        <f>SUBTOTAL(3,$C$5:C43)</f>
        <v>5</v>
      </c>
      <c r="C43" s="130" t="s">
        <v>191</v>
      </c>
      <c r="D43" s="130"/>
      <c r="E43" s="130" t="s">
        <v>192</v>
      </c>
      <c r="F43" s="130" t="s">
        <v>193</v>
      </c>
      <c r="G43" s="226">
        <v>574183224</v>
      </c>
      <c r="H43" s="138">
        <v>318</v>
      </c>
      <c r="I43" s="138">
        <v>431</v>
      </c>
      <c r="J43" s="145">
        <f>H43-I43</f>
        <v>-113</v>
      </c>
      <c r="K43" s="146">
        <f>I43/H43</f>
        <v>1.3553459119496856</v>
      </c>
      <c r="L43" s="147" t="s">
        <v>69</v>
      </c>
      <c r="M43" s="147" t="s">
        <v>50</v>
      </c>
      <c r="N43" s="201" t="s">
        <v>194</v>
      </c>
      <c r="O43" s="220" t="s">
        <v>698</v>
      </c>
      <c r="P43" s="202" t="s">
        <v>707</v>
      </c>
      <c r="Q43" s="212">
        <v>46094</v>
      </c>
      <c r="R43" s="213">
        <v>45928</v>
      </c>
      <c r="S43" s="128">
        <f t="shared" si="0"/>
        <v>-166</v>
      </c>
      <c r="T43" s="128" t="s">
        <v>768</v>
      </c>
      <c r="U43" s="128">
        <v>33</v>
      </c>
      <c r="V43" s="128" t="s">
        <v>53</v>
      </c>
      <c r="W43" s="128">
        <v>27</v>
      </c>
      <c r="X43" s="128" t="s">
        <v>53</v>
      </c>
      <c r="Y43" s="128">
        <v>3</v>
      </c>
      <c r="Z43" s="128" t="s">
        <v>53</v>
      </c>
      <c r="AA43" s="128">
        <v>32</v>
      </c>
      <c r="AB43" s="128" t="s">
        <v>53</v>
      </c>
      <c r="AC43" s="128">
        <v>-37</v>
      </c>
      <c r="AD43" s="128" t="s">
        <v>54</v>
      </c>
      <c r="AE43" s="128">
        <v>-160</v>
      </c>
      <c r="AF43" s="128" t="s">
        <v>55</v>
      </c>
      <c r="AG43" s="128">
        <v>-48</v>
      </c>
      <c r="AH43" s="128" t="s">
        <v>54</v>
      </c>
      <c r="AI43" s="128">
        <v>-41</v>
      </c>
      <c r="AJ43" s="128" t="s">
        <v>54</v>
      </c>
      <c r="AK43" s="128">
        <v>-33</v>
      </c>
      <c r="AL43" s="128" t="s">
        <v>54</v>
      </c>
      <c r="AM43" s="128">
        <v>-183</v>
      </c>
      <c r="AN43" s="128" t="s">
        <v>55</v>
      </c>
      <c r="AO43" s="128">
        <v>-183</v>
      </c>
      <c r="AP43" s="128" t="s">
        <v>55</v>
      </c>
      <c r="AQ43" s="128">
        <v>-178</v>
      </c>
      <c r="AR43" s="128" t="s">
        <v>55</v>
      </c>
      <c r="AS43" s="128">
        <v>-171</v>
      </c>
      <c r="AT43" s="128" t="s">
        <v>55</v>
      </c>
      <c r="AU43" s="128" t="s">
        <v>61</v>
      </c>
    </row>
    <row r="44" spans="2:47" s="128" customFormat="1" ht="224" hidden="1" x14ac:dyDescent="0.2">
      <c r="B44" s="147">
        <f>SUBTOTAL(3,$C$5:C44)</f>
        <v>5</v>
      </c>
      <c r="C44" s="130" t="s">
        <v>191</v>
      </c>
      <c r="D44" s="130"/>
      <c r="E44" s="130" t="s">
        <v>196</v>
      </c>
      <c r="F44" s="130" t="s">
        <v>197</v>
      </c>
      <c r="G44" s="226">
        <v>451317929</v>
      </c>
      <c r="H44" s="138">
        <v>365</v>
      </c>
      <c r="I44" s="138">
        <v>715</v>
      </c>
      <c r="J44" s="145">
        <f>H44-I44</f>
        <v>-350</v>
      </c>
      <c r="K44" s="146">
        <f>I44/H44</f>
        <v>1.9589041095890412</v>
      </c>
      <c r="L44" s="147" t="s">
        <v>51</v>
      </c>
      <c r="M44" s="147" t="s">
        <v>50</v>
      </c>
      <c r="N44" s="201" t="s">
        <v>198</v>
      </c>
      <c r="O44" s="201" t="s">
        <v>699</v>
      </c>
      <c r="P44" s="202" t="s">
        <v>706</v>
      </c>
      <c r="Q44" s="212">
        <v>46094</v>
      </c>
      <c r="R44" s="213">
        <v>45928</v>
      </c>
      <c r="S44" s="128">
        <f t="shared" si="0"/>
        <v>-166</v>
      </c>
      <c r="T44" s="128" t="s">
        <v>768</v>
      </c>
      <c r="U44" s="128">
        <v>33</v>
      </c>
      <c r="V44" s="128" t="s">
        <v>53</v>
      </c>
      <c r="W44" s="128">
        <v>27</v>
      </c>
      <c r="X44" s="128" t="s">
        <v>53</v>
      </c>
      <c r="Y44" s="128">
        <v>32</v>
      </c>
      <c r="Z44" s="128" t="s">
        <v>53</v>
      </c>
      <c r="AA44" s="128">
        <v>60</v>
      </c>
      <c r="AB44" s="128" t="s">
        <v>53</v>
      </c>
      <c r="AC44" s="128">
        <v>11</v>
      </c>
      <c r="AD44" s="128" t="s">
        <v>53</v>
      </c>
      <c r="AE44" s="128">
        <v>-162</v>
      </c>
      <c r="AF44" s="128" t="s">
        <v>55</v>
      </c>
      <c r="AG44" s="128">
        <v>-49</v>
      </c>
      <c r="AH44" s="128" t="s">
        <v>54</v>
      </c>
      <c r="AI44" s="128">
        <v>-42</v>
      </c>
      <c r="AJ44" s="128" t="s">
        <v>54</v>
      </c>
      <c r="AK44" s="128">
        <v>-43</v>
      </c>
      <c r="AL44" s="128" t="s">
        <v>54</v>
      </c>
      <c r="AM44" s="128">
        <v>-183</v>
      </c>
      <c r="AN44" s="128" t="s">
        <v>55</v>
      </c>
      <c r="AO44" s="128">
        <v>-183</v>
      </c>
      <c r="AP44" s="128" t="s">
        <v>55</v>
      </c>
      <c r="AQ44" s="128">
        <v>-178</v>
      </c>
      <c r="AR44" s="128" t="s">
        <v>55</v>
      </c>
      <c r="AS44" s="128">
        <v>-171</v>
      </c>
      <c r="AT44" s="128" t="s">
        <v>55</v>
      </c>
      <c r="AU44" s="128" t="s">
        <v>61</v>
      </c>
    </row>
    <row r="45" spans="2:47" s="128" customFormat="1" ht="256" hidden="1" x14ac:dyDescent="0.2">
      <c r="B45" s="147">
        <f>SUBTOTAL(3,$C$5:C45)</f>
        <v>5</v>
      </c>
      <c r="C45" s="130" t="s">
        <v>191</v>
      </c>
      <c r="D45" s="130"/>
      <c r="E45" s="130" t="s">
        <v>199</v>
      </c>
      <c r="F45" s="130" t="s">
        <v>200</v>
      </c>
      <c r="G45" s="226">
        <v>20589661159</v>
      </c>
      <c r="H45" s="216">
        <v>10695</v>
      </c>
      <c r="I45" s="138">
        <v>10434</v>
      </c>
      <c r="J45" s="145"/>
      <c r="K45" s="217">
        <v>1</v>
      </c>
      <c r="L45" s="147" t="s">
        <v>74</v>
      </c>
      <c r="M45" s="147" t="s">
        <v>14</v>
      </c>
      <c r="N45" s="201" t="s">
        <v>201</v>
      </c>
      <c r="O45" s="201" t="s">
        <v>250</v>
      </c>
      <c r="P45" s="202" t="s">
        <v>676</v>
      </c>
      <c r="Q45" s="212">
        <v>46153</v>
      </c>
      <c r="R45" s="213">
        <v>45928</v>
      </c>
      <c r="S45" s="128">
        <f t="shared" si="0"/>
        <v>-225</v>
      </c>
      <c r="U45" s="128">
        <v>33</v>
      </c>
      <c r="V45" s="128" t="s">
        <v>53</v>
      </c>
      <c r="W45" s="128">
        <v>27</v>
      </c>
      <c r="X45" s="128" t="s">
        <v>53</v>
      </c>
      <c r="Y45" s="128">
        <v>32</v>
      </c>
      <c r="Z45" s="128" t="s">
        <v>53</v>
      </c>
      <c r="AA45" s="128">
        <v>60</v>
      </c>
      <c r="AB45" s="128" t="s">
        <v>53</v>
      </c>
      <c r="AC45" s="128">
        <v>11</v>
      </c>
      <c r="AD45" s="128" t="s">
        <v>53</v>
      </c>
      <c r="AE45" s="128">
        <v>-163</v>
      </c>
      <c r="AF45" s="128" t="s">
        <v>55</v>
      </c>
      <c r="AG45" s="128">
        <v>-49</v>
      </c>
      <c r="AH45" s="128" t="s">
        <v>54</v>
      </c>
      <c r="AI45" s="128">
        <v>-42</v>
      </c>
      <c r="AJ45" s="128" t="s">
        <v>54</v>
      </c>
      <c r="AK45" s="128">
        <v>-38</v>
      </c>
      <c r="AL45" s="128" t="s">
        <v>54</v>
      </c>
      <c r="AM45" s="128">
        <v>-64</v>
      </c>
      <c r="AN45" s="128" t="s">
        <v>55</v>
      </c>
      <c r="AO45" s="128">
        <v>-78</v>
      </c>
      <c r="AP45" s="128" t="s">
        <v>55</v>
      </c>
      <c r="AQ45" s="128">
        <v>-59</v>
      </c>
      <c r="AR45" s="128" t="s">
        <v>55</v>
      </c>
      <c r="AS45" s="128">
        <v>-52</v>
      </c>
      <c r="AT45" s="128" t="s">
        <v>55</v>
      </c>
      <c r="AU45" s="128" t="s">
        <v>61</v>
      </c>
    </row>
    <row r="46" spans="2:47" s="128" customFormat="1" ht="331.5" hidden="1" customHeight="1" x14ac:dyDescent="0.2">
      <c r="B46" s="147">
        <f>SUBTOTAL(3,$C$5:C46)</f>
        <v>5</v>
      </c>
      <c r="C46" s="130" t="s">
        <v>191</v>
      </c>
      <c r="D46" s="130"/>
      <c r="E46" s="130" t="s">
        <v>202</v>
      </c>
      <c r="F46" s="130" t="s">
        <v>203</v>
      </c>
      <c r="G46" s="226">
        <v>90555389652</v>
      </c>
      <c r="H46" s="216">
        <v>6155</v>
      </c>
      <c r="I46" s="138">
        <v>6393</v>
      </c>
      <c r="J46" s="145">
        <f t="shared" ref="J46:J53" si="3">H46-I46</f>
        <v>-238</v>
      </c>
      <c r="K46" s="217">
        <f t="shared" ref="K46:K54" si="4">I46/H46</f>
        <v>1.038667749796913</v>
      </c>
      <c r="L46" s="147" t="s">
        <v>69</v>
      </c>
      <c r="M46" s="147" t="s">
        <v>50</v>
      </c>
      <c r="N46" s="201" t="s">
        <v>204</v>
      </c>
      <c r="O46" s="201" t="s">
        <v>704</v>
      </c>
      <c r="P46" s="202" t="s">
        <v>752</v>
      </c>
      <c r="Q46" s="221"/>
      <c r="R46" s="213">
        <v>45865</v>
      </c>
      <c r="S46" s="128">
        <f t="shared" si="0"/>
        <v>45865</v>
      </c>
      <c r="T46" s="128" t="s">
        <v>767</v>
      </c>
      <c r="U46" s="128">
        <v>-5</v>
      </c>
      <c r="V46" s="128" t="s">
        <v>54</v>
      </c>
      <c r="W46" s="128">
        <v>-31</v>
      </c>
      <c r="X46" s="128" t="s">
        <v>54</v>
      </c>
      <c r="Y46" s="128">
        <v>-12</v>
      </c>
      <c r="Z46" s="128" t="s">
        <v>54</v>
      </c>
      <c r="AA46" s="128">
        <v>10</v>
      </c>
      <c r="AB46" s="128" t="s">
        <v>53</v>
      </c>
      <c r="AC46" s="128">
        <v>-10</v>
      </c>
      <c r="AD46" s="128" t="s">
        <v>54</v>
      </c>
      <c r="AE46" s="128">
        <v>-232</v>
      </c>
      <c r="AF46" s="128" t="s">
        <v>55</v>
      </c>
      <c r="AG46" s="128">
        <v>-41</v>
      </c>
      <c r="AH46" s="128" t="s">
        <v>54</v>
      </c>
      <c r="AI46" s="128">
        <v>-34</v>
      </c>
      <c r="AJ46" s="128" t="s">
        <v>54</v>
      </c>
      <c r="AK46" s="128">
        <v>-24</v>
      </c>
      <c r="AL46" s="128" t="s">
        <v>54</v>
      </c>
      <c r="AM46" s="128">
        <v>-120</v>
      </c>
      <c r="AN46" s="128" t="s">
        <v>55</v>
      </c>
      <c r="AO46" s="128">
        <v>-134</v>
      </c>
      <c r="AP46" s="128" t="s">
        <v>55</v>
      </c>
      <c r="AQ46" s="128">
        <v>-115</v>
      </c>
      <c r="AR46" s="128" t="s">
        <v>55</v>
      </c>
      <c r="AS46" s="128">
        <v>-107</v>
      </c>
      <c r="AT46" s="128" t="s">
        <v>55</v>
      </c>
      <c r="AU46" s="128" t="s">
        <v>56</v>
      </c>
    </row>
    <row r="47" spans="2:47" s="128" customFormat="1" ht="256" hidden="1" x14ac:dyDescent="0.2">
      <c r="B47" s="147">
        <f>SUBTOTAL(3,$C$5:C47)</f>
        <v>5</v>
      </c>
      <c r="C47" s="130" t="s">
        <v>191</v>
      </c>
      <c r="D47" s="130"/>
      <c r="E47" s="130" t="s">
        <v>206</v>
      </c>
      <c r="F47" s="130" t="s">
        <v>207</v>
      </c>
      <c r="G47" s="226">
        <v>18074312563</v>
      </c>
      <c r="H47" s="216">
        <v>4940</v>
      </c>
      <c r="I47" s="138">
        <v>3769</v>
      </c>
      <c r="J47" s="145">
        <f t="shared" si="3"/>
        <v>1171</v>
      </c>
      <c r="K47" s="217">
        <f t="shared" si="4"/>
        <v>0.76295546558704452</v>
      </c>
      <c r="L47" s="147" t="s">
        <v>173</v>
      </c>
      <c r="M47" s="147" t="s">
        <v>50</v>
      </c>
      <c r="N47" s="201" t="s">
        <v>208</v>
      </c>
      <c r="O47" s="201" t="s">
        <v>703</v>
      </c>
      <c r="P47" s="202" t="s">
        <v>753</v>
      </c>
      <c r="Q47" s="212">
        <v>46133</v>
      </c>
      <c r="R47" s="213">
        <v>45956</v>
      </c>
      <c r="S47" s="128">
        <f t="shared" si="0"/>
        <v>-177</v>
      </c>
      <c r="T47" s="128" t="s">
        <v>767</v>
      </c>
      <c r="U47" s="128">
        <v>44</v>
      </c>
      <c r="V47" s="128" t="s">
        <v>53</v>
      </c>
      <c r="W47" s="128">
        <v>34</v>
      </c>
      <c r="X47" s="128" t="s">
        <v>53</v>
      </c>
      <c r="Y47" s="128">
        <v>44</v>
      </c>
      <c r="Z47" s="128" t="s">
        <v>53</v>
      </c>
      <c r="AA47" s="128">
        <v>60</v>
      </c>
      <c r="AB47" s="128" t="s">
        <v>53</v>
      </c>
      <c r="AC47" s="128">
        <v>-9</v>
      </c>
      <c r="AD47" s="128" t="s">
        <v>54</v>
      </c>
      <c r="AE47" s="128">
        <v>-141</v>
      </c>
      <c r="AF47" s="128" t="s">
        <v>55</v>
      </c>
      <c r="AG47" s="128">
        <v>-7</v>
      </c>
      <c r="AH47" s="128" t="s">
        <v>54</v>
      </c>
      <c r="AI47" s="128">
        <v>-13</v>
      </c>
      <c r="AJ47" s="128" t="s">
        <v>54</v>
      </c>
      <c r="AK47" s="128">
        <v>-5</v>
      </c>
      <c r="AL47" s="128" t="s">
        <v>54</v>
      </c>
      <c r="AM47" s="128">
        <v>-92</v>
      </c>
      <c r="AN47" s="128" t="s">
        <v>55</v>
      </c>
      <c r="AO47" s="128">
        <v>-106</v>
      </c>
      <c r="AP47" s="128" t="s">
        <v>55</v>
      </c>
      <c r="AQ47" s="128">
        <v>-87</v>
      </c>
      <c r="AR47" s="128" t="s">
        <v>55</v>
      </c>
      <c r="AS47" s="128">
        <v>-80</v>
      </c>
      <c r="AT47" s="128" t="s">
        <v>55</v>
      </c>
      <c r="AU47" s="128" t="s">
        <v>56</v>
      </c>
    </row>
    <row r="48" spans="2:47" s="128" customFormat="1" ht="224" hidden="1" x14ac:dyDescent="0.2">
      <c r="B48" s="147">
        <f>SUBTOTAL(3,$C$5:C48)</f>
        <v>5</v>
      </c>
      <c r="C48" s="130" t="s">
        <v>191</v>
      </c>
      <c r="D48" s="130"/>
      <c r="E48" s="130" t="s">
        <v>210</v>
      </c>
      <c r="F48" s="130" t="s">
        <v>211</v>
      </c>
      <c r="G48" s="226">
        <v>2502693494</v>
      </c>
      <c r="H48" s="138">
        <v>1242</v>
      </c>
      <c r="I48" s="138">
        <v>1189</v>
      </c>
      <c r="J48" s="145">
        <f t="shared" si="3"/>
        <v>53</v>
      </c>
      <c r="K48" s="146">
        <f t="shared" si="4"/>
        <v>0.95732689210950084</v>
      </c>
      <c r="L48" s="147" t="s">
        <v>51</v>
      </c>
      <c r="M48" s="147" t="s">
        <v>50</v>
      </c>
      <c r="N48" s="201" t="s">
        <v>212</v>
      </c>
      <c r="O48" s="201" t="s">
        <v>700</v>
      </c>
      <c r="P48" s="202" t="s">
        <v>729</v>
      </c>
      <c r="Q48" s="212">
        <v>46133</v>
      </c>
      <c r="R48" s="213">
        <v>45956</v>
      </c>
      <c r="S48" s="128">
        <f t="shared" si="0"/>
        <v>-177</v>
      </c>
      <c r="T48" s="128" t="s">
        <v>768</v>
      </c>
      <c r="U48" s="128">
        <v>44</v>
      </c>
      <c r="V48" s="128" t="s">
        <v>53</v>
      </c>
      <c r="W48" s="128">
        <v>34</v>
      </c>
      <c r="X48" s="128" t="s">
        <v>53</v>
      </c>
      <c r="Y48" s="128">
        <v>44</v>
      </c>
      <c r="Z48" s="128" t="s">
        <v>53</v>
      </c>
      <c r="AA48" s="128">
        <v>60</v>
      </c>
      <c r="AB48" s="128" t="s">
        <v>53</v>
      </c>
      <c r="AC48" s="128">
        <v>11</v>
      </c>
      <c r="AD48" s="128" t="s">
        <v>53</v>
      </c>
      <c r="AE48" s="128">
        <v>-141</v>
      </c>
      <c r="AF48" s="128" t="s">
        <v>55</v>
      </c>
      <c r="AG48" s="128">
        <v>-7</v>
      </c>
      <c r="AH48" s="128" t="s">
        <v>54</v>
      </c>
      <c r="AI48" s="128">
        <v>-14</v>
      </c>
      <c r="AJ48" s="128" t="s">
        <v>54</v>
      </c>
      <c r="AK48" s="128">
        <v>-10</v>
      </c>
      <c r="AL48" s="128" t="s">
        <v>54</v>
      </c>
      <c r="AM48" s="128">
        <v>-120</v>
      </c>
      <c r="AN48" s="128" t="s">
        <v>55</v>
      </c>
      <c r="AO48" s="128">
        <v>-127</v>
      </c>
      <c r="AP48" s="128" t="s">
        <v>55</v>
      </c>
      <c r="AQ48" s="128">
        <v>-115</v>
      </c>
      <c r="AR48" s="128" t="s">
        <v>55</v>
      </c>
      <c r="AS48" s="128">
        <v>-108</v>
      </c>
      <c r="AT48" s="128" t="s">
        <v>55</v>
      </c>
      <c r="AU48" s="128" t="s">
        <v>61</v>
      </c>
    </row>
    <row r="49" spans="2:47" s="128" customFormat="1" ht="322.5" hidden="1" customHeight="1" x14ac:dyDescent="0.2">
      <c r="B49" s="147">
        <f>SUBTOTAL(3,$C$5:C49)</f>
        <v>5</v>
      </c>
      <c r="C49" s="130" t="s">
        <v>191</v>
      </c>
      <c r="D49" s="130"/>
      <c r="E49" s="130" t="s">
        <v>213</v>
      </c>
      <c r="F49" s="130" t="s">
        <v>214</v>
      </c>
      <c r="G49" s="226">
        <v>494384995</v>
      </c>
      <c r="H49" s="138">
        <v>350</v>
      </c>
      <c r="I49" s="138">
        <v>300</v>
      </c>
      <c r="J49" s="145">
        <f t="shared" si="3"/>
        <v>50</v>
      </c>
      <c r="K49" s="146">
        <f t="shared" si="4"/>
        <v>0.8571428571428571</v>
      </c>
      <c r="L49" s="147" t="s">
        <v>51</v>
      </c>
      <c r="M49" s="147" t="s">
        <v>50</v>
      </c>
      <c r="N49" s="201" t="s">
        <v>215</v>
      </c>
      <c r="O49" s="201" t="s">
        <v>701</v>
      </c>
      <c r="P49" s="202" t="s">
        <v>730</v>
      </c>
      <c r="Q49" s="212">
        <v>46142</v>
      </c>
      <c r="R49" s="213">
        <v>45991</v>
      </c>
      <c r="S49" s="128">
        <f t="shared" si="0"/>
        <v>-151</v>
      </c>
      <c r="T49" s="128" t="s">
        <v>768</v>
      </c>
      <c r="U49" s="128">
        <v>-8</v>
      </c>
      <c r="V49" s="128" t="s">
        <v>54</v>
      </c>
      <c r="W49" s="128">
        <v>-22</v>
      </c>
      <c r="X49" s="128" t="s">
        <v>54</v>
      </c>
      <c r="Y49" s="128">
        <v>-2</v>
      </c>
      <c r="Z49" s="128" t="s">
        <v>54</v>
      </c>
      <c r="AA49" s="128">
        <v>26</v>
      </c>
      <c r="AB49" s="128" t="s">
        <v>53</v>
      </c>
      <c r="AC49" s="128">
        <v>17</v>
      </c>
      <c r="AD49" s="128" t="s">
        <v>53</v>
      </c>
      <c r="AE49" s="128">
        <v>-106</v>
      </c>
      <c r="AF49" s="128" t="s">
        <v>55</v>
      </c>
      <c r="AG49" s="128">
        <v>15</v>
      </c>
      <c r="AH49" s="128" t="s">
        <v>53</v>
      </c>
      <c r="AI49" s="128">
        <v>22</v>
      </c>
      <c r="AJ49" s="128" t="s">
        <v>53</v>
      </c>
      <c r="AK49" s="128">
        <v>30</v>
      </c>
      <c r="AL49" s="128" t="s">
        <v>53</v>
      </c>
      <c r="AM49" s="128">
        <v>-92</v>
      </c>
      <c r="AN49" s="128" t="s">
        <v>55</v>
      </c>
      <c r="AO49" s="128">
        <v>-99</v>
      </c>
      <c r="AP49" s="128" t="s">
        <v>55</v>
      </c>
      <c r="AQ49" s="128">
        <v>-87</v>
      </c>
      <c r="AR49" s="128" t="s">
        <v>55</v>
      </c>
      <c r="AS49" s="128">
        <v>-80</v>
      </c>
      <c r="AT49" s="128" t="s">
        <v>55</v>
      </c>
      <c r="AU49" s="128" t="s">
        <v>61</v>
      </c>
    </row>
    <row r="50" spans="2:47" s="128" customFormat="1" ht="256" hidden="1" x14ac:dyDescent="0.2">
      <c r="B50" s="147">
        <f>SUBTOTAL(3,$C$5:C50)</f>
        <v>5</v>
      </c>
      <c r="C50" s="130" t="s">
        <v>191</v>
      </c>
      <c r="D50" s="130"/>
      <c r="E50" s="130" t="s">
        <v>217</v>
      </c>
      <c r="F50" s="130" t="s">
        <v>218</v>
      </c>
      <c r="G50" s="226">
        <v>235332171</v>
      </c>
      <c r="H50" s="216">
        <v>183</v>
      </c>
      <c r="I50" s="138">
        <v>174</v>
      </c>
      <c r="J50" s="145">
        <f t="shared" si="3"/>
        <v>9</v>
      </c>
      <c r="K50" s="217">
        <f t="shared" si="4"/>
        <v>0.95081967213114749</v>
      </c>
      <c r="L50" s="147" t="s">
        <v>69</v>
      </c>
      <c r="M50" s="147" t="s">
        <v>50</v>
      </c>
      <c r="N50" s="201" t="s">
        <v>219</v>
      </c>
      <c r="O50" s="201" t="s">
        <v>702</v>
      </c>
      <c r="P50" s="202" t="s">
        <v>756</v>
      </c>
      <c r="Q50" s="212">
        <v>46142</v>
      </c>
      <c r="R50" s="213">
        <v>45984</v>
      </c>
      <c r="S50" s="128">
        <f t="shared" si="0"/>
        <v>-158</v>
      </c>
      <c r="T50" s="128" t="s">
        <v>767</v>
      </c>
      <c r="U50" s="128">
        <v>-9</v>
      </c>
      <c r="V50" s="128" t="s">
        <v>54</v>
      </c>
      <c r="W50" s="128">
        <v>-22</v>
      </c>
      <c r="X50" s="128" t="s">
        <v>54</v>
      </c>
      <c r="Y50" s="128">
        <v>-2</v>
      </c>
      <c r="Z50" s="128" t="s">
        <v>54</v>
      </c>
      <c r="AA50" s="128">
        <v>19</v>
      </c>
      <c r="AB50" s="128" t="s">
        <v>53</v>
      </c>
      <c r="AC50" s="128">
        <v>12</v>
      </c>
      <c r="AD50" s="128" t="s">
        <v>53</v>
      </c>
      <c r="AE50" s="128">
        <v>-113</v>
      </c>
      <c r="AF50" s="128" t="s">
        <v>55</v>
      </c>
      <c r="AG50" s="128">
        <v>-7</v>
      </c>
      <c r="AH50" s="128" t="s">
        <v>54</v>
      </c>
      <c r="AI50" s="128">
        <v>15</v>
      </c>
      <c r="AJ50" s="128" t="s">
        <v>53</v>
      </c>
      <c r="AK50" s="128">
        <v>23</v>
      </c>
      <c r="AL50" s="128" t="s">
        <v>53</v>
      </c>
      <c r="AM50" s="128">
        <v>-120</v>
      </c>
      <c r="AN50" s="128" t="s">
        <v>55</v>
      </c>
      <c r="AO50" s="128">
        <v>-120</v>
      </c>
      <c r="AP50" s="128" t="s">
        <v>55</v>
      </c>
      <c r="AQ50" s="128">
        <v>-115</v>
      </c>
      <c r="AR50" s="128" t="s">
        <v>55</v>
      </c>
      <c r="AS50" s="128">
        <v>-108</v>
      </c>
      <c r="AT50" s="128" t="s">
        <v>55</v>
      </c>
      <c r="AU50" s="128" t="s">
        <v>61</v>
      </c>
    </row>
    <row r="51" spans="2:47" s="128" customFormat="1" ht="192" hidden="1" x14ac:dyDescent="0.2">
      <c r="B51" s="147">
        <f>SUBTOTAL(3,$C$5:C51)</f>
        <v>5</v>
      </c>
      <c r="C51" s="130" t="s">
        <v>191</v>
      </c>
      <c r="D51" s="130"/>
      <c r="E51" s="130" t="s">
        <v>221</v>
      </c>
      <c r="F51" s="130" t="s">
        <v>222</v>
      </c>
      <c r="G51" s="226">
        <v>1960724806</v>
      </c>
      <c r="H51" s="138">
        <v>739</v>
      </c>
      <c r="I51" s="138">
        <v>569</v>
      </c>
      <c r="J51" s="145">
        <f t="shared" si="3"/>
        <v>170</v>
      </c>
      <c r="K51" s="146">
        <f t="shared" si="4"/>
        <v>0.76995940460081191</v>
      </c>
      <c r="L51" s="147" t="s">
        <v>51</v>
      </c>
      <c r="M51" s="147" t="s">
        <v>50</v>
      </c>
      <c r="N51" s="201" t="s">
        <v>223</v>
      </c>
      <c r="O51" s="201" t="s">
        <v>705</v>
      </c>
      <c r="P51" s="202" t="s">
        <v>755</v>
      </c>
      <c r="Q51" s="212">
        <v>46118</v>
      </c>
      <c r="R51" s="213">
        <v>45991</v>
      </c>
      <c r="S51" s="128">
        <f t="shared" si="0"/>
        <v>-127</v>
      </c>
      <c r="T51" s="128" t="s">
        <v>767</v>
      </c>
      <c r="U51" s="128">
        <v>-8</v>
      </c>
      <c r="V51" s="128" t="s">
        <v>54</v>
      </c>
      <c r="W51" s="128">
        <v>-22</v>
      </c>
      <c r="X51" s="128" t="s">
        <v>54</v>
      </c>
      <c r="Y51" s="128">
        <v>-2</v>
      </c>
      <c r="Z51" s="128" t="s">
        <v>54</v>
      </c>
      <c r="AA51" s="128">
        <v>26</v>
      </c>
      <c r="AB51" s="128" t="s">
        <v>53</v>
      </c>
      <c r="AC51" s="128">
        <v>17</v>
      </c>
      <c r="AD51" s="128" t="s">
        <v>53</v>
      </c>
      <c r="AE51" s="128">
        <v>-106</v>
      </c>
      <c r="AF51" s="128" t="s">
        <v>55</v>
      </c>
      <c r="AG51" s="128">
        <v>-7</v>
      </c>
      <c r="AH51" s="128" t="s">
        <v>54</v>
      </c>
      <c r="AI51" s="128">
        <v>8</v>
      </c>
      <c r="AJ51" s="128" t="s">
        <v>53</v>
      </c>
      <c r="AK51" s="128">
        <v>16</v>
      </c>
      <c r="AL51" s="128" t="s">
        <v>53</v>
      </c>
      <c r="AM51" s="128">
        <v>-92</v>
      </c>
      <c r="AN51" s="128" t="s">
        <v>55</v>
      </c>
      <c r="AO51" s="128">
        <v>-99</v>
      </c>
      <c r="AP51" s="128" t="s">
        <v>55</v>
      </c>
      <c r="AQ51" s="128">
        <v>-87</v>
      </c>
      <c r="AR51" s="128" t="s">
        <v>55</v>
      </c>
      <c r="AS51" s="128">
        <v>-80</v>
      </c>
      <c r="AT51" s="128" t="s">
        <v>55</v>
      </c>
      <c r="AU51" s="128" t="s">
        <v>61</v>
      </c>
    </row>
    <row r="52" spans="2:47" s="128" customFormat="1" ht="128" hidden="1" x14ac:dyDescent="0.2">
      <c r="B52" s="147">
        <f>SUBTOTAL(3,$C$5:C52)</f>
        <v>5</v>
      </c>
      <c r="C52" s="130" t="s">
        <v>191</v>
      </c>
      <c r="D52" s="130"/>
      <c r="E52" s="130" t="s">
        <v>224</v>
      </c>
      <c r="F52" s="130" t="s">
        <v>225</v>
      </c>
      <c r="G52" s="226">
        <v>126204245</v>
      </c>
      <c r="H52" s="216">
        <v>1</v>
      </c>
      <c r="I52" s="138">
        <v>1</v>
      </c>
      <c r="J52" s="145">
        <f t="shared" si="3"/>
        <v>0</v>
      </c>
      <c r="K52" s="217">
        <f t="shared" si="4"/>
        <v>1</v>
      </c>
      <c r="L52" s="147" t="s">
        <v>69</v>
      </c>
      <c r="M52" s="147" t="s">
        <v>50</v>
      </c>
      <c r="N52" s="201" t="s">
        <v>226</v>
      </c>
      <c r="O52" s="201" t="s">
        <v>596</v>
      </c>
      <c r="P52" s="202" t="s">
        <v>754</v>
      </c>
      <c r="Q52" s="221"/>
      <c r="R52" s="213">
        <v>45984</v>
      </c>
      <c r="S52" s="128">
        <f t="shared" si="0"/>
        <v>45984</v>
      </c>
      <c r="T52" s="128" t="s">
        <v>767</v>
      </c>
      <c r="U52" s="128">
        <v>-96</v>
      </c>
      <c r="V52" s="128" t="s">
        <v>54</v>
      </c>
      <c r="W52" s="128">
        <v>-23</v>
      </c>
      <c r="X52" s="128" t="s">
        <v>54</v>
      </c>
      <c r="Y52" s="128">
        <v>45</v>
      </c>
      <c r="Z52" s="128" t="s">
        <v>53</v>
      </c>
      <c r="AA52" s="128">
        <v>129</v>
      </c>
      <c r="AB52" s="128" t="s">
        <v>53</v>
      </c>
      <c r="AC52" s="128">
        <v>109</v>
      </c>
      <c r="AD52" s="128" t="s">
        <v>53</v>
      </c>
      <c r="AE52" s="128">
        <v>-113</v>
      </c>
      <c r="AF52" s="128" t="s">
        <v>55</v>
      </c>
      <c r="AG52" s="128">
        <v>78</v>
      </c>
      <c r="AH52" s="128" t="s">
        <v>53</v>
      </c>
      <c r="AI52" s="128">
        <v>85</v>
      </c>
      <c r="AJ52" s="128" t="s">
        <v>53</v>
      </c>
      <c r="AK52" s="128">
        <v>95</v>
      </c>
      <c r="AL52" s="128" t="s">
        <v>53</v>
      </c>
      <c r="AM52" s="128">
        <v>-120</v>
      </c>
      <c r="AN52" s="128" t="s">
        <v>55</v>
      </c>
      <c r="AO52" s="128">
        <v>-120</v>
      </c>
      <c r="AP52" s="128" t="s">
        <v>55</v>
      </c>
      <c r="AQ52" s="128">
        <v>-115</v>
      </c>
      <c r="AR52" s="128" t="s">
        <v>55</v>
      </c>
      <c r="AS52" s="128">
        <v>-108</v>
      </c>
      <c r="AT52" s="128" t="s">
        <v>55</v>
      </c>
      <c r="AU52" s="128" t="s">
        <v>56</v>
      </c>
    </row>
    <row r="53" spans="2:47" s="128" customFormat="1" ht="254.5" hidden="1" customHeight="1" x14ac:dyDescent="0.2">
      <c r="B53" s="147">
        <f>SUBTOTAL(3,$C$5:C53)</f>
        <v>5</v>
      </c>
      <c r="C53" s="130" t="s">
        <v>191</v>
      </c>
      <c r="D53" s="130"/>
      <c r="E53" s="130" t="s">
        <v>227</v>
      </c>
      <c r="F53" s="130" t="s">
        <v>228</v>
      </c>
      <c r="G53" s="226">
        <v>216965733</v>
      </c>
      <c r="H53" s="216">
        <v>78</v>
      </c>
      <c r="I53" s="138">
        <v>1</v>
      </c>
      <c r="J53" s="145">
        <f t="shared" si="3"/>
        <v>77</v>
      </c>
      <c r="K53" s="217">
        <f t="shared" si="4"/>
        <v>1.282051282051282E-2</v>
      </c>
      <c r="L53" s="147" t="s">
        <v>69</v>
      </c>
      <c r="M53" s="147" t="s">
        <v>731</v>
      </c>
      <c r="N53" s="201" t="s">
        <v>229</v>
      </c>
      <c r="O53" s="201" t="s">
        <v>732</v>
      </c>
      <c r="P53" s="202" t="s">
        <v>675</v>
      </c>
      <c r="Q53" s="212">
        <v>46118</v>
      </c>
      <c r="R53" s="213">
        <v>46019</v>
      </c>
      <c r="S53" s="128">
        <f t="shared" si="0"/>
        <v>-99</v>
      </c>
      <c r="T53" s="128" t="s">
        <v>768</v>
      </c>
      <c r="U53" s="128">
        <v>27</v>
      </c>
      <c r="V53" s="128" t="s">
        <v>53</v>
      </c>
      <c r="W53" s="128">
        <v>13</v>
      </c>
      <c r="X53" s="128" t="s">
        <v>53</v>
      </c>
      <c r="Y53" s="128">
        <v>34</v>
      </c>
      <c r="Z53" s="128" t="s">
        <v>53</v>
      </c>
      <c r="AA53" s="128">
        <v>55</v>
      </c>
      <c r="AB53" s="128" t="s">
        <v>53</v>
      </c>
      <c r="AC53" s="128">
        <v>23</v>
      </c>
      <c r="AD53" s="128" t="s">
        <v>53</v>
      </c>
      <c r="AE53" s="128">
        <v>-78</v>
      </c>
      <c r="AF53" s="128" t="s">
        <v>55</v>
      </c>
      <c r="AG53" s="128">
        <v>29</v>
      </c>
      <c r="AH53" s="128" t="s">
        <v>53</v>
      </c>
      <c r="AI53" s="128">
        <v>36</v>
      </c>
      <c r="AJ53" s="128" t="s">
        <v>53</v>
      </c>
      <c r="AK53" s="128">
        <v>44</v>
      </c>
      <c r="AL53" s="128" t="s">
        <v>53</v>
      </c>
      <c r="AM53" s="128">
        <v>-85</v>
      </c>
      <c r="AN53" s="128" t="s">
        <v>55</v>
      </c>
      <c r="AO53" s="128">
        <v>-92</v>
      </c>
      <c r="AP53" s="128" t="s">
        <v>55</v>
      </c>
      <c r="AQ53" s="128">
        <v>-87</v>
      </c>
      <c r="AR53" s="128" t="s">
        <v>55</v>
      </c>
      <c r="AS53" s="128">
        <v>-80</v>
      </c>
      <c r="AT53" s="128" t="s">
        <v>55</v>
      </c>
      <c r="AU53" s="128" t="s">
        <v>61</v>
      </c>
    </row>
    <row r="54" spans="2:47" ht="25" customHeight="1" x14ac:dyDescent="0.35">
      <c r="B54" s="222" t="s">
        <v>231</v>
      </c>
      <c r="C54" s="222"/>
      <c r="D54" s="222"/>
      <c r="E54" s="222"/>
      <c r="F54" s="222"/>
      <c r="G54" s="223">
        <f>SUBTOTAL(9,G5:G53)</f>
        <v>73921742053</v>
      </c>
      <c r="H54" s="223">
        <f t="shared" ref="H54:J54" si="5">SUBTOTAL(9,H5:H53)</f>
        <v>9604</v>
      </c>
      <c r="I54" s="223">
        <f t="shared" si="5"/>
        <v>8218</v>
      </c>
      <c r="J54" s="223">
        <f>SUBTOTAL(9,J5:J53)</f>
        <v>1386</v>
      </c>
      <c r="K54" s="224">
        <f>I54/H54</f>
        <v>0.85568513119533529</v>
      </c>
      <c r="L54" s="137"/>
      <c r="M54" s="137"/>
      <c r="N54" s="178"/>
      <c r="O54" s="179"/>
      <c r="P54" s="178"/>
      <c r="Q54" s="180"/>
      <c r="R54" s="128"/>
      <c r="S54" s="128"/>
    </row>
    <row r="58" spans="2:47" ht="31" x14ac:dyDescent="0.35">
      <c r="I58" s="225"/>
    </row>
  </sheetData>
  <autoFilter ref="B4:AU53" xr:uid="{744E4AAD-770F-4EF1-A664-90E8CCB52167}">
    <filterColumn colId="18">
      <filters>
        <filter val="Aug"/>
      </filters>
    </filterColumn>
  </autoFilter>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E499-35AA-4D5D-9465-67AB714F308D}">
  <dimension ref="A1:N13"/>
  <sheetViews>
    <sheetView zoomScale="30" zoomScaleNormal="30" workbookViewId="0">
      <selection activeCell="L34" sqref="L34"/>
    </sheetView>
  </sheetViews>
  <sheetFormatPr baseColWidth="10" defaultColWidth="8.83203125" defaultRowHeight="15" x14ac:dyDescent="0.2"/>
  <cols>
    <col min="1" max="1" width="8.83203125" bestFit="1" customWidth="1"/>
    <col min="2" max="2" width="34" customWidth="1"/>
    <col min="3" max="3" width="41" customWidth="1"/>
    <col min="4" max="4" width="35" customWidth="1"/>
    <col min="5" max="5" width="38.6640625" customWidth="1"/>
    <col min="6" max="6" width="19.5" customWidth="1"/>
    <col min="7" max="7" width="20.5" customWidth="1"/>
    <col min="8" max="8" width="20.1640625" customWidth="1"/>
    <col min="9" max="9" width="18.5" customWidth="1"/>
    <col min="10" max="10" width="33.1640625" customWidth="1"/>
    <col min="11" max="11" width="25.5" customWidth="1"/>
    <col min="12" max="12" width="92.1640625" customWidth="1"/>
    <col min="13" max="13" width="135.33203125" customWidth="1"/>
    <col min="14" max="14" width="42.83203125" customWidth="1"/>
  </cols>
  <sheetData>
    <row r="1" spans="1:14" ht="90" x14ac:dyDescent="0.2">
      <c r="A1" s="26" t="s">
        <v>0</v>
      </c>
      <c r="B1" s="26" t="s">
        <v>1</v>
      </c>
      <c r="C1" s="27" t="s">
        <v>3</v>
      </c>
      <c r="D1" s="26" t="s">
        <v>4</v>
      </c>
      <c r="E1" s="27" t="s">
        <v>5</v>
      </c>
      <c r="F1" s="27" t="s">
        <v>7</v>
      </c>
      <c r="G1" s="27" t="s">
        <v>8</v>
      </c>
      <c r="H1" s="27" t="s">
        <v>9</v>
      </c>
      <c r="I1" s="27" t="s">
        <v>10</v>
      </c>
      <c r="J1" s="27" t="s">
        <v>11</v>
      </c>
      <c r="K1" s="27" t="s">
        <v>6</v>
      </c>
      <c r="L1" s="27" t="s">
        <v>12</v>
      </c>
      <c r="M1" s="27" t="s">
        <v>378</v>
      </c>
      <c r="N1" s="27" t="s">
        <v>15</v>
      </c>
    </row>
    <row r="2" spans="1:14" ht="409.5" hidden="1" customHeight="1" x14ac:dyDescent="0.2">
      <c r="A2" s="32">
        <v>1</v>
      </c>
      <c r="B2" s="29" t="s">
        <v>191</v>
      </c>
      <c r="C2" s="29" t="s">
        <v>192</v>
      </c>
      <c r="D2" s="29" t="s">
        <v>193</v>
      </c>
      <c r="E2" s="30">
        <v>574183224</v>
      </c>
      <c r="F2" s="30">
        <v>318</v>
      </c>
      <c r="G2" s="30">
        <v>250</v>
      </c>
      <c r="H2" s="31">
        <v>68</v>
      </c>
      <c r="I2" s="33">
        <v>0.78616352201257866</v>
      </c>
      <c r="J2" s="32" t="s">
        <v>69</v>
      </c>
      <c r="K2" s="32" t="s">
        <v>50</v>
      </c>
      <c r="L2" s="35" t="s">
        <v>194</v>
      </c>
      <c r="M2" s="35" t="s">
        <v>370</v>
      </c>
      <c r="N2" s="53" t="s">
        <v>195</v>
      </c>
    </row>
    <row r="3" spans="1:14" ht="240" hidden="1" x14ac:dyDescent="0.2">
      <c r="A3" s="32">
        <v>2</v>
      </c>
      <c r="B3" s="29" t="s">
        <v>191</v>
      </c>
      <c r="C3" s="29" t="s">
        <v>196</v>
      </c>
      <c r="D3" s="29" t="s">
        <v>197</v>
      </c>
      <c r="E3" s="30">
        <v>451317929</v>
      </c>
      <c r="F3" s="30">
        <v>365</v>
      </c>
      <c r="G3" s="30">
        <v>280</v>
      </c>
      <c r="H3" s="31">
        <v>85</v>
      </c>
      <c r="I3" s="33">
        <v>0.76712328767123283</v>
      </c>
      <c r="J3" s="32" t="s">
        <v>51</v>
      </c>
      <c r="K3" s="32" t="s">
        <v>50</v>
      </c>
      <c r="L3" s="35" t="s">
        <v>198</v>
      </c>
      <c r="M3" s="35" t="s">
        <v>371</v>
      </c>
      <c r="N3" s="53" t="s">
        <v>195</v>
      </c>
    </row>
    <row r="4" spans="1:14" ht="300" x14ac:dyDescent="0.2">
      <c r="A4" s="32">
        <v>1</v>
      </c>
      <c r="B4" s="29" t="s">
        <v>191</v>
      </c>
      <c r="C4" s="29" t="s">
        <v>199</v>
      </c>
      <c r="D4" s="29" t="s">
        <v>200</v>
      </c>
      <c r="E4" s="30">
        <v>20589661159</v>
      </c>
      <c r="F4" s="59">
        <v>10695</v>
      </c>
      <c r="G4" s="59">
        <v>10057.35</v>
      </c>
      <c r="H4" s="31">
        <v>637.64999999999964</v>
      </c>
      <c r="I4" s="60">
        <v>0.9403786816269285</v>
      </c>
      <c r="J4" s="32" t="s">
        <v>74</v>
      </c>
      <c r="K4" s="32" t="s">
        <v>78</v>
      </c>
      <c r="L4" s="35" t="s">
        <v>201</v>
      </c>
      <c r="M4" s="35" t="s">
        <v>373</v>
      </c>
      <c r="N4" s="58" t="s">
        <v>372</v>
      </c>
    </row>
    <row r="5" spans="1:14" ht="390" hidden="1" x14ac:dyDescent="0.2">
      <c r="A5" s="32">
        <v>3</v>
      </c>
      <c r="B5" s="29" t="s">
        <v>191</v>
      </c>
      <c r="C5" s="29" t="s">
        <v>202</v>
      </c>
      <c r="D5" s="29" t="s">
        <v>203</v>
      </c>
      <c r="E5" s="30">
        <v>90555389652</v>
      </c>
      <c r="F5" s="30">
        <v>6155</v>
      </c>
      <c r="G5" s="30">
        <v>6258</v>
      </c>
      <c r="H5" s="31">
        <v>-103</v>
      </c>
      <c r="I5" s="33">
        <v>1.0167343623070675</v>
      </c>
      <c r="J5" s="32" t="s">
        <v>69</v>
      </c>
      <c r="K5" s="32" t="s">
        <v>50</v>
      </c>
      <c r="L5" s="35" t="s">
        <v>204</v>
      </c>
      <c r="M5" s="35" t="s">
        <v>326</v>
      </c>
      <c r="N5" s="58" t="s">
        <v>205</v>
      </c>
    </row>
    <row r="6" spans="1:14" ht="330" hidden="1" x14ac:dyDescent="0.2">
      <c r="A6" s="32">
        <v>4</v>
      </c>
      <c r="B6" s="29" t="s">
        <v>191</v>
      </c>
      <c r="C6" s="29" t="s">
        <v>206</v>
      </c>
      <c r="D6" s="29" t="s">
        <v>207</v>
      </c>
      <c r="E6" s="30">
        <v>18074312563</v>
      </c>
      <c r="F6" s="30">
        <v>4940</v>
      </c>
      <c r="G6" s="30">
        <v>440</v>
      </c>
      <c r="H6" s="31">
        <v>4500</v>
      </c>
      <c r="I6" s="33">
        <v>8.9068825910931168E-2</v>
      </c>
      <c r="J6" s="32" t="s">
        <v>173</v>
      </c>
      <c r="K6" s="32" t="s">
        <v>50</v>
      </c>
      <c r="L6" s="35" t="s">
        <v>208</v>
      </c>
      <c r="M6" s="35" t="s">
        <v>374</v>
      </c>
      <c r="N6" s="58" t="s">
        <v>209</v>
      </c>
    </row>
    <row r="7" spans="1:14" ht="270" hidden="1" x14ac:dyDescent="0.2">
      <c r="A7" s="32">
        <v>5</v>
      </c>
      <c r="B7" s="29" t="s">
        <v>191</v>
      </c>
      <c r="C7" s="29" t="s">
        <v>210</v>
      </c>
      <c r="D7" s="29" t="s">
        <v>211</v>
      </c>
      <c r="E7" s="30">
        <v>2502693494</v>
      </c>
      <c r="F7" s="30">
        <v>1242</v>
      </c>
      <c r="G7" s="30">
        <v>989</v>
      </c>
      <c r="H7" s="31">
        <v>253</v>
      </c>
      <c r="I7" s="33">
        <v>0.79629629629629628</v>
      </c>
      <c r="J7" s="32" t="s">
        <v>51</v>
      </c>
      <c r="K7" s="32" t="s">
        <v>50</v>
      </c>
      <c r="L7" s="35" t="s">
        <v>212</v>
      </c>
      <c r="M7" s="35" t="s">
        <v>375</v>
      </c>
      <c r="N7" s="58" t="s">
        <v>205</v>
      </c>
    </row>
    <row r="8" spans="1:14" ht="180" hidden="1" x14ac:dyDescent="0.2">
      <c r="A8" s="32">
        <v>1</v>
      </c>
      <c r="B8" s="29" t="s">
        <v>191</v>
      </c>
      <c r="C8" s="29" t="s">
        <v>213</v>
      </c>
      <c r="D8" s="29" t="s">
        <v>214</v>
      </c>
      <c r="E8" s="59">
        <v>494384995</v>
      </c>
      <c r="F8" s="59">
        <v>350</v>
      </c>
      <c r="G8" s="59">
        <v>0</v>
      </c>
      <c r="H8" s="31">
        <v>350</v>
      </c>
      <c r="I8" s="60">
        <v>0</v>
      </c>
      <c r="J8" s="32" t="s">
        <v>51</v>
      </c>
      <c r="K8" s="32" t="s">
        <v>127</v>
      </c>
      <c r="L8" s="35" t="s">
        <v>215</v>
      </c>
      <c r="M8" s="35" t="s">
        <v>387</v>
      </c>
      <c r="N8" s="53" t="s">
        <v>216</v>
      </c>
    </row>
    <row r="9" spans="1:14" ht="270" hidden="1" x14ac:dyDescent="0.2">
      <c r="A9" s="32">
        <v>6</v>
      </c>
      <c r="B9" s="29" t="s">
        <v>191</v>
      </c>
      <c r="C9" s="29" t="s">
        <v>217</v>
      </c>
      <c r="D9" s="29" t="s">
        <v>218</v>
      </c>
      <c r="E9" s="59">
        <v>235332171</v>
      </c>
      <c r="F9" s="59">
        <v>183</v>
      </c>
      <c r="G9" s="59">
        <v>174</v>
      </c>
      <c r="H9" s="31">
        <v>9</v>
      </c>
      <c r="I9" s="60">
        <v>0.95081967213114749</v>
      </c>
      <c r="J9" s="32" t="s">
        <v>69</v>
      </c>
      <c r="K9" s="32" t="s">
        <v>50</v>
      </c>
      <c r="L9" s="35" t="s">
        <v>219</v>
      </c>
      <c r="M9" s="35" t="s">
        <v>327</v>
      </c>
      <c r="N9" s="58" t="s">
        <v>220</v>
      </c>
    </row>
    <row r="10" spans="1:14" ht="300" hidden="1" x14ac:dyDescent="0.2">
      <c r="A10" s="32">
        <v>7</v>
      </c>
      <c r="B10" s="29" t="s">
        <v>191</v>
      </c>
      <c r="C10" s="29" t="s">
        <v>221</v>
      </c>
      <c r="D10" s="29" t="s">
        <v>222</v>
      </c>
      <c r="E10" s="59">
        <v>1960724806</v>
      </c>
      <c r="F10" s="59">
        <v>739</v>
      </c>
      <c r="G10" s="59">
        <v>300</v>
      </c>
      <c r="H10" s="31">
        <v>439</v>
      </c>
      <c r="I10" s="60">
        <v>0.40595399188092018</v>
      </c>
      <c r="J10" s="32" t="s">
        <v>51</v>
      </c>
      <c r="K10" s="32" t="s">
        <v>50</v>
      </c>
      <c r="L10" s="35" t="s">
        <v>223</v>
      </c>
      <c r="M10" s="35" t="s">
        <v>376</v>
      </c>
      <c r="N10" s="58" t="s">
        <v>205</v>
      </c>
    </row>
    <row r="11" spans="1:14" ht="270" hidden="1" x14ac:dyDescent="0.2">
      <c r="A11" s="32">
        <v>2</v>
      </c>
      <c r="B11" s="29" t="s">
        <v>191</v>
      </c>
      <c r="C11" s="29" t="s">
        <v>224</v>
      </c>
      <c r="D11" s="29" t="s">
        <v>225</v>
      </c>
      <c r="E11" s="59">
        <v>104448245</v>
      </c>
      <c r="F11" s="59">
        <v>1</v>
      </c>
      <c r="G11" s="59">
        <v>0</v>
      </c>
      <c r="H11" s="31">
        <v>1</v>
      </c>
      <c r="I11" s="60">
        <v>0</v>
      </c>
      <c r="J11" s="32" t="s">
        <v>69</v>
      </c>
      <c r="K11" s="32" t="s">
        <v>127</v>
      </c>
      <c r="L11" s="35" t="s">
        <v>226</v>
      </c>
      <c r="M11" s="35" t="s">
        <v>377</v>
      </c>
      <c r="N11" s="58" t="s">
        <v>205</v>
      </c>
    </row>
    <row r="12" spans="1:14" ht="390" hidden="1" x14ac:dyDescent="0.2">
      <c r="A12" s="56">
        <v>3</v>
      </c>
      <c r="B12" s="34" t="s">
        <v>191</v>
      </c>
      <c r="C12" s="34" t="s">
        <v>227</v>
      </c>
      <c r="D12" s="34" t="s">
        <v>228</v>
      </c>
      <c r="E12" s="61">
        <v>216965733</v>
      </c>
      <c r="F12" s="61">
        <v>78</v>
      </c>
      <c r="G12" s="61">
        <v>0</v>
      </c>
      <c r="H12" s="62">
        <v>78</v>
      </c>
      <c r="I12" s="63">
        <v>0</v>
      </c>
      <c r="J12" s="56" t="s">
        <v>69</v>
      </c>
      <c r="K12" s="56" t="s">
        <v>127</v>
      </c>
      <c r="L12" s="64" t="s">
        <v>229</v>
      </c>
      <c r="M12" s="35" t="s">
        <v>386</v>
      </c>
      <c r="N12" s="53" t="s">
        <v>230</v>
      </c>
    </row>
    <row r="13" spans="1:14" ht="30" x14ac:dyDescent="0.2">
      <c r="A13" s="65" t="s">
        <v>231</v>
      </c>
      <c r="B13" s="65"/>
      <c r="C13" s="65"/>
      <c r="D13" s="65"/>
      <c r="E13" s="66">
        <v>135759413971</v>
      </c>
      <c r="F13" s="66">
        <v>25066</v>
      </c>
      <c r="G13" s="66">
        <v>18748.349999999999</v>
      </c>
      <c r="H13" s="66">
        <v>6317.65</v>
      </c>
      <c r="I13" s="67">
        <v>0.74795938721774513</v>
      </c>
      <c r="J13" s="28"/>
      <c r="K13" s="28"/>
      <c r="L13" s="28"/>
      <c r="M13" s="28"/>
      <c r="N13" s="5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9D6C9-5D12-4F2A-B8B7-DAA630FC37B5}">
  <dimension ref="A1:N18"/>
  <sheetViews>
    <sheetView zoomScale="30" zoomScaleNormal="30" workbookViewId="0">
      <selection sqref="A1:N15"/>
    </sheetView>
  </sheetViews>
  <sheetFormatPr baseColWidth="10" defaultColWidth="8.83203125" defaultRowHeight="15" x14ac:dyDescent="0.2"/>
  <cols>
    <col min="2" max="2" width="24.6640625" customWidth="1"/>
    <col min="3" max="3" width="32.1640625" customWidth="1"/>
    <col min="4" max="4" width="44.1640625" customWidth="1"/>
    <col min="5" max="5" width="36.5" customWidth="1"/>
    <col min="6" max="6" width="23.83203125" customWidth="1"/>
    <col min="7" max="7" width="18.5" customWidth="1"/>
    <col min="8" max="8" width="18" customWidth="1"/>
    <col min="9" max="9" width="15.6640625" customWidth="1"/>
    <col min="10" max="10" width="19.1640625" customWidth="1"/>
    <col min="11" max="11" width="19.5" customWidth="1"/>
    <col min="12" max="12" width="81.6640625" customWidth="1"/>
    <col min="13" max="13" width="129.33203125" customWidth="1"/>
    <col min="14" max="14" width="42.33203125" customWidth="1"/>
  </cols>
  <sheetData>
    <row r="1" spans="1:14" ht="90" x14ac:dyDescent="0.2">
      <c r="A1" s="26" t="s">
        <v>0</v>
      </c>
      <c r="B1" s="26" t="s">
        <v>1</v>
      </c>
      <c r="C1" s="27" t="s">
        <v>3</v>
      </c>
      <c r="D1" s="26" t="s">
        <v>4</v>
      </c>
      <c r="E1" s="27" t="s">
        <v>5</v>
      </c>
      <c r="F1" s="27" t="s">
        <v>7</v>
      </c>
      <c r="G1" s="27" t="s">
        <v>8</v>
      </c>
      <c r="H1" s="27" t="s">
        <v>9</v>
      </c>
      <c r="I1" s="27" t="s">
        <v>10</v>
      </c>
      <c r="J1" s="27" t="s">
        <v>11</v>
      </c>
      <c r="K1" s="27" t="s">
        <v>6</v>
      </c>
      <c r="L1" s="27" t="s">
        <v>12</v>
      </c>
      <c r="M1" s="27" t="s">
        <v>378</v>
      </c>
      <c r="N1" s="27" t="s">
        <v>15</v>
      </c>
    </row>
    <row r="2" spans="1:14" ht="409.5" hidden="1" customHeight="1" x14ac:dyDescent="0.2">
      <c r="A2" s="32">
        <v>1</v>
      </c>
      <c r="B2" s="29" t="s">
        <v>46</v>
      </c>
      <c r="C2" s="29" t="s">
        <v>48</v>
      </c>
      <c r="D2" s="29" t="s">
        <v>49</v>
      </c>
      <c r="E2" s="30">
        <v>50277463541</v>
      </c>
      <c r="F2" s="30">
        <v>2363</v>
      </c>
      <c r="G2" s="30">
        <v>2128.5</v>
      </c>
      <c r="H2" s="31">
        <v>234.5</v>
      </c>
      <c r="I2" s="33">
        <v>0.90076174354633942</v>
      </c>
      <c r="J2" s="32" t="s">
        <v>51</v>
      </c>
      <c r="K2" s="32" t="s">
        <v>64</v>
      </c>
      <c r="L2" s="35" t="s">
        <v>52</v>
      </c>
      <c r="M2" s="35" t="s">
        <v>385</v>
      </c>
      <c r="N2" s="53" t="s">
        <v>328</v>
      </c>
    </row>
    <row r="3" spans="1:14" ht="404.5" hidden="1" customHeight="1" x14ac:dyDescent="0.2">
      <c r="A3" s="32">
        <v>1</v>
      </c>
      <c r="B3" s="29" t="s">
        <v>46</v>
      </c>
      <c r="C3" s="29" t="s">
        <v>57</v>
      </c>
      <c r="D3" s="29" t="s">
        <v>58</v>
      </c>
      <c r="E3" s="30">
        <v>201942465303</v>
      </c>
      <c r="F3" s="30">
        <v>4450</v>
      </c>
      <c r="G3" s="30">
        <v>3877.3</v>
      </c>
      <c r="H3" s="31">
        <v>572.69999999999982</v>
      </c>
      <c r="I3" s="33">
        <v>0.87130337078651687</v>
      </c>
      <c r="J3" s="32" t="s">
        <v>51</v>
      </c>
      <c r="K3" s="32" t="s">
        <v>50</v>
      </c>
      <c r="L3" s="35" t="s">
        <v>59</v>
      </c>
      <c r="M3" s="35" t="s">
        <v>331</v>
      </c>
      <c r="N3" s="53" t="s">
        <v>60</v>
      </c>
    </row>
    <row r="4" spans="1:14" ht="298.5" hidden="1" customHeight="1" x14ac:dyDescent="0.2">
      <c r="A4" s="32">
        <v>2</v>
      </c>
      <c r="B4" s="29" t="s">
        <v>46</v>
      </c>
      <c r="C4" s="29" t="s">
        <v>62</v>
      </c>
      <c r="D4" s="29" t="s">
        <v>63</v>
      </c>
      <c r="E4" s="30">
        <v>30274805397</v>
      </c>
      <c r="F4" s="30">
        <v>2084</v>
      </c>
      <c r="G4" s="30">
        <v>2070</v>
      </c>
      <c r="H4" s="31">
        <v>14</v>
      </c>
      <c r="I4" s="33">
        <v>0.99328214971209217</v>
      </c>
      <c r="J4" s="32" t="s">
        <v>51</v>
      </c>
      <c r="K4" s="32" t="s">
        <v>64</v>
      </c>
      <c r="L4" s="35" t="s">
        <v>65</v>
      </c>
      <c r="M4" s="35" t="s">
        <v>329</v>
      </c>
      <c r="N4" s="53" t="s">
        <v>330</v>
      </c>
    </row>
    <row r="5" spans="1:14" ht="355.5" hidden="1" customHeight="1" x14ac:dyDescent="0.2">
      <c r="A5" s="32">
        <v>2</v>
      </c>
      <c r="B5" s="29" t="s">
        <v>46</v>
      </c>
      <c r="C5" s="29" t="s">
        <v>67</v>
      </c>
      <c r="D5" s="29" t="s">
        <v>68</v>
      </c>
      <c r="E5" s="30">
        <v>26619887845</v>
      </c>
      <c r="F5" s="30">
        <v>8172</v>
      </c>
      <c r="G5" s="30">
        <v>4871.5</v>
      </c>
      <c r="H5" s="31">
        <v>3300.5</v>
      </c>
      <c r="I5" s="33">
        <v>0.59612090063631917</v>
      </c>
      <c r="J5" s="32" t="s">
        <v>69</v>
      </c>
      <c r="K5" s="32" t="s">
        <v>50</v>
      </c>
      <c r="L5" s="35" t="s">
        <v>70</v>
      </c>
      <c r="M5" s="35" t="s">
        <v>332</v>
      </c>
      <c r="N5" s="53" t="s">
        <v>71</v>
      </c>
    </row>
    <row r="6" spans="1:14" ht="312" hidden="1" customHeight="1" x14ac:dyDescent="0.2">
      <c r="A6" s="32">
        <v>3</v>
      </c>
      <c r="B6" s="29" t="s">
        <v>46</v>
      </c>
      <c r="C6" s="29" t="s">
        <v>72</v>
      </c>
      <c r="D6" s="29" t="s">
        <v>73</v>
      </c>
      <c r="E6" s="30">
        <v>2211882788</v>
      </c>
      <c r="F6" s="30">
        <v>611</v>
      </c>
      <c r="G6" s="30">
        <v>548</v>
      </c>
      <c r="H6" s="31">
        <v>63</v>
      </c>
      <c r="I6" s="33">
        <v>0.89689034369885434</v>
      </c>
      <c r="J6" s="32" t="s">
        <v>74</v>
      </c>
      <c r="K6" s="32" t="s">
        <v>50</v>
      </c>
      <c r="L6" s="35" t="s">
        <v>75</v>
      </c>
      <c r="M6" s="55" t="s">
        <v>333</v>
      </c>
      <c r="N6" s="53" t="s">
        <v>71</v>
      </c>
    </row>
    <row r="7" spans="1:14" s="54" customFormat="1" ht="409.6" hidden="1" x14ac:dyDescent="0.35">
      <c r="A7" s="32">
        <v>1</v>
      </c>
      <c r="B7" s="29" t="s">
        <v>46</v>
      </c>
      <c r="C7" s="29" t="s">
        <v>76</v>
      </c>
      <c r="D7" s="29" t="s">
        <v>77</v>
      </c>
      <c r="E7" s="30">
        <v>8907307436</v>
      </c>
      <c r="F7" s="30">
        <v>5094</v>
      </c>
      <c r="G7" s="30">
        <v>1841.4</v>
      </c>
      <c r="H7" s="31">
        <v>3252.6</v>
      </c>
      <c r="I7" s="33">
        <v>0.36148409893992933</v>
      </c>
      <c r="J7" s="32" t="s">
        <v>74</v>
      </c>
      <c r="K7" s="32" t="s">
        <v>14</v>
      </c>
      <c r="L7" s="35" t="s">
        <v>79</v>
      </c>
      <c r="M7" s="35" t="s">
        <v>322</v>
      </c>
      <c r="N7" s="53" t="s">
        <v>323</v>
      </c>
    </row>
    <row r="8" spans="1:14" ht="245" hidden="1" customHeight="1" x14ac:dyDescent="0.2">
      <c r="A8" s="32">
        <v>4</v>
      </c>
      <c r="B8" s="29" t="s">
        <v>46</v>
      </c>
      <c r="C8" s="29" t="s">
        <v>80</v>
      </c>
      <c r="D8" s="29" t="s">
        <v>81</v>
      </c>
      <c r="E8" s="30">
        <v>31637031965</v>
      </c>
      <c r="F8" s="30">
        <v>17923</v>
      </c>
      <c r="G8" s="30">
        <v>10277</v>
      </c>
      <c r="H8" s="31">
        <v>7646</v>
      </c>
      <c r="I8" s="33">
        <v>0.57339731071807176</v>
      </c>
      <c r="J8" s="32" t="s">
        <v>82</v>
      </c>
      <c r="K8" s="32" t="s">
        <v>50</v>
      </c>
      <c r="L8" s="35" t="s">
        <v>83</v>
      </c>
      <c r="M8" s="35" t="s">
        <v>334</v>
      </c>
      <c r="N8" s="53" t="s">
        <v>71</v>
      </c>
    </row>
    <row r="9" spans="1:14" ht="245" hidden="1" customHeight="1" x14ac:dyDescent="0.2">
      <c r="A9" s="32">
        <v>5</v>
      </c>
      <c r="B9" s="29" t="s">
        <v>46</v>
      </c>
      <c r="C9" s="29" t="s">
        <v>84</v>
      </c>
      <c r="D9" s="29" t="s">
        <v>85</v>
      </c>
      <c r="E9" s="30">
        <v>45174997846</v>
      </c>
      <c r="F9" s="30">
        <v>27532</v>
      </c>
      <c r="G9" s="30">
        <v>11833</v>
      </c>
      <c r="H9" s="31">
        <v>15699</v>
      </c>
      <c r="I9" s="33">
        <v>0.42979078890018885</v>
      </c>
      <c r="J9" s="32" t="s">
        <v>82</v>
      </c>
      <c r="K9" s="32" t="s">
        <v>50</v>
      </c>
      <c r="L9" s="35" t="s">
        <v>86</v>
      </c>
      <c r="M9" s="35" t="s">
        <v>335</v>
      </c>
      <c r="N9" s="53" t="s">
        <v>87</v>
      </c>
    </row>
    <row r="10" spans="1:14" ht="245" hidden="1" customHeight="1" x14ac:dyDescent="0.2">
      <c r="A10" s="32">
        <v>6</v>
      </c>
      <c r="B10" s="29" t="s">
        <v>46</v>
      </c>
      <c r="C10" s="29" t="s">
        <v>88</v>
      </c>
      <c r="D10" s="29" t="s">
        <v>89</v>
      </c>
      <c r="E10" s="30">
        <v>37542682765</v>
      </c>
      <c r="F10" s="30">
        <v>24088</v>
      </c>
      <c r="G10" s="30">
        <v>18138</v>
      </c>
      <c r="H10" s="31">
        <v>5950</v>
      </c>
      <c r="I10" s="33">
        <v>0.75298904018598467</v>
      </c>
      <c r="J10" s="32" t="s">
        <v>82</v>
      </c>
      <c r="K10" s="32" t="s">
        <v>50</v>
      </c>
      <c r="L10" s="35" t="s">
        <v>90</v>
      </c>
      <c r="M10" s="55" t="s">
        <v>366</v>
      </c>
      <c r="N10" s="53" t="s">
        <v>87</v>
      </c>
    </row>
    <row r="11" spans="1:14" ht="245" hidden="1" customHeight="1" x14ac:dyDescent="0.2">
      <c r="A11" s="32">
        <v>7</v>
      </c>
      <c r="B11" s="29" t="s">
        <v>46</v>
      </c>
      <c r="C11" s="29" t="s">
        <v>91</v>
      </c>
      <c r="D11" s="29" t="s">
        <v>92</v>
      </c>
      <c r="E11" s="30">
        <v>35732085802</v>
      </c>
      <c r="F11" s="30">
        <v>23680</v>
      </c>
      <c r="G11" s="30">
        <v>19089.5</v>
      </c>
      <c r="H11" s="31">
        <v>4590.5</v>
      </c>
      <c r="I11" s="33">
        <v>0.80614442567567568</v>
      </c>
      <c r="J11" s="32" t="s">
        <v>69</v>
      </c>
      <c r="K11" s="32" t="s">
        <v>50</v>
      </c>
      <c r="L11" s="35" t="s">
        <v>93</v>
      </c>
      <c r="M11" s="55" t="s">
        <v>341</v>
      </c>
      <c r="N11" s="53" t="s">
        <v>87</v>
      </c>
    </row>
    <row r="12" spans="1:14" ht="201.5" hidden="1" customHeight="1" x14ac:dyDescent="0.2">
      <c r="A12" s="32">
        <v>8</v>
      </c>
      <c r="B12" s="29" t="s">
        <v>46</v>
      </c>
      <c r="C12" s="29" t="s">
        <v>94</v>
      </c>
      <c r="D12" s="29" t="s">
        <v>95</v>
      </c>
      <c r="E12" s="30">
        <v>26163678274</v>
      </c>
      <c r="F12" s="30">
        <v>13581</v>
      </c>
      <c r="G12" s="30">
        <v>6819</v>
      </c>
      <c r="H12" s="31">
        <v>6762</v>
      </c>
      <c r="I12" s="33">
        <v>0.50209851999116417</v>
      </c>
      <c r="J12" s="32" t="s">
        <v>82</v>
      </c>
      <c r="K12" s="32" t="s">
        <v>50</v>
      </c>
      <c r="L12" s="35" t="s">
        <v>96</v>
      </c>
      <c r="M12" s="55" t="s">
        <v>336</v>
      </c>
      <c r="N12" s="53" t="s">
        <v>87</v>
      </c>
    </row>
    <row r="13" spans="1:14" ht="201.5" hidden="1" customHeight="1" x14ac:dyDescent="0.2">
      <c r="A13" s="32">
        <v>9</v>
      </c>
      <c r="B13" s="29" t="s">
        <v>46</v>
      </c>
      <c r="C13" s="29" t="s">
        <v>97</v>
      </c>
      <c r="D13" s="29" t="s">
        <v>98</v>
      </c>
      <c r="E13" s="30">
        <v>39965885717</v>
      </c>
      <c r="F13" s="30">
        <v>22917</v>
      </c>
      <c r="G13" s="30">
        <v>16272</v>
      </c>
      <c r="H13" s="31">
        <v>6645</v>
      </c>
      <c r="I13" s="33">
        <v>0.71004058122790936</v>
      </c>
      <c r="J13" s="32" t="s">
        <v>82</v>
      </c>
      <c r="K13" s="32" t="s">
        <v>50</v>
      </c>
      <c r="L13" s="35" t="s">
        <v>99</v>
      </c>
      <c r="M13" s="35" t="s">
        <v>367</v>
      </c>
      <c r="N13" s="53" t="s">
        <v>100</v>
      </c>
    </row>
    <row r="14" spans="1:14" ht="288" customHeight="1" x14ac:dyDescent="0.2">
      <c r="A14" s="32">
        <v>1</v>
      </c>
      <c r="B14" s="29" t="s">
        <v>46</v>
      </c>
      <c r="C14" s="29" t="s">
        <v>101</v>
      </c>
      <c r="D14" s="29" t="s">
        <v>102</v>
      </c>
      <c r="E14" s="30">
        <v>20859354660</v>
      </c>
      <c r="F14" s="30">
        <v>12786</v>
      </c>
      <c r="G14" s="30">
        <v>5835</v>
      </c>
      <c r="H14" s="31">
        <v>6951</v>
      </c>
      <c r="I14" s="33">
        <v>0.45635851712810888</v>
      </c>
      <c r="J14" s="32" t="s">
        <v>82</v>
      </c>
      <c r="K14" s="32" t="s">
        <v>103</v>
      </c>
      <c r="L14" s="35" t="s">
        <v>104</v>
      </c>
      <c r="M14" s="35" t="s">
        <v>337</v>
      </c>
      <c r="N14" s="53" t="s">
        <v>100</v>
      </c>
    </row>
    <row r="15" spans="1:14" ht="300" customHeight="1" x14ac:dyDescent="0.2">
      <c r="A15" s="32">
        <v>2</v>
      </c>
      <c r="B15" s="29" t="s">
        <v>46</v>
      </c>
      <c r="C15" s="29" t="s">
        <v>105</v>
      </c>
      <c r="D15" s="29" t="s">
        <v>106</v>
      </c>
      <c r="E15" s="30">
        <v>32722678567</v>
      </c>
      <c r="F15" s="30">
        <v>18889</v>
      </c>
      <c r="G15" s="30">
        <v>10600</v>
      </c>
      <c r="H15" s="31">
        <v>8289</v>
      </c>
      <c r="I15" s="33">
        <v>0.56117316956959074</v>
      </c>
      <c r="J15" s="32" t="s">
        <v>82</v>
      </c>
      <c r="K15" s="32" t="s">
        <v>103</v>
      </c>
      <c r="L15" s="35" t="s">
        <v>107</v>
      </c>
      <c r="M15" s="35" t="s">
        <v>338</v>
      </c>
      <c r="N15" s="53" t="s">
        <v>108</v>
      </c>
    </row>
    <row r="16" spans="1:14" ht="205" hidden="1" customHeight="1" x14ac:dyDescent="0.2">
      <c r="A16" s="42">
        <v>10</v>
      </c>
      <c r="B16" s="43" t="s">
        <v>46</v>
      </c>
      <c r="C16" s="43" t="s">
        <v>109</v>
      </c>
      <c r="D16" s="43" t="s">
        <v>110</v>
      </c>
      <c r="E16" s="44">
        <v>110907608174</v>
      </c>
      <c r="F16" s="44">
        <v>8837</v>
      </c>
      <c r="G16" s="44">
        <v>3703</v>
      </c>
      <c r="H16" s="45">
        <v>5134</v>
      </c>
      <c r="I16" s="46">
        <v>0.41903360869073214</v>
      </c>
      <c r="J16" s="42" t="s">
        <v>69</v>
      </c>
      <c r="K16" s="42" t="s">
        <v>50</v>
      </c>
      <c r="L16" s="47" t="s">
        <v>111</v>
      </c>
      <c r="M16" s="47" t="s">
        <v>339</v>
      </c>
      <c r="N16" s="48" t="s">
        <v>112</v>
      </c>
    </row>
    <row r="17" spans="1:14" ht="243" hidden="1" customHeight="1" x14ac:dyDescent="0.2">
      <c r="A17" s="42">
        <v>11</v>
      </c>
      <c r="B17" s="43" t="s">
        <v>46</v>
      </c>
      <c r="C17" s="43" t="s">
        <v>113</v>
      </c>
      <c r="D17" s="43" t="s">
        <v>114</v>
      </c>
      <c r="E17" s="44">
        <v>21199168948</v>
      </c>
      <c r="F17" s="44">
        <v>14692</v>
      </c>
      <c r="G17" s="44">
        <v>9898</v>
      </c>
      <c r="H17" s="45">
        <v>4794</v>
      </c>
      <c r="I17" s="46">
        <v>0.67369997277429894</v>
      </c>
      <c r="J17" s="42" t="s">
        <v>82</v>
      </c>
      <c r="K17" s="42" t="s">
        <v>50</v>
      </c>
      <c r="L17" s="47" t="s">
        <v>115</v>
      </c>
      <c r="M17" s="47" t="s">
        <v>340</v>
      </c>
      <c r="N17" s="48" t="s">
        <v>116</v>
      </c>
    </row>
    <row r="18" spans="1:14" ht="25" x14ac:dyDescent="0.2">
      <c r="A18" s="49" t="s">
        <v>231</v>
      </c>
      <c r="B18" s="49"/>
      <c r="C18" s="49"/>
      <c r="D18" s="49"/>
      <c r="E18" s="50">
        <v>722138985028</v>
      </c>
      <c r="F18" s="50">
        <v>207699</v>
      </c>
      <c r="G18" s="50">
        <v>127801.2</v>
      </c>
      <c r="H18" s="50">
        <v>79897.8</v>
      </c>
      <c r="I18" s="51">
        <v>0.61531928415639936</v>
      </c>
      <c r="J18" s="52"/>
      <c r="K18" s="52"/>
      <c r="L18" s="52"/>
      <c r="M18" s="52"/>
      <c r="N18" s="52"/>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8DAE6-3CE5-46DC-A301-0FB752050E93}">
  <dimension ref="A1:N24"/>
  <sheetViews>
    <sheetView zoomScale="36" zoomScaleNormal="36" workbookViewId="0">
      <selection activeCell="I36" sqref="I36"/>
    </sheetView>
  </sheetViews>
  <sheetFormatPr baseColWidth="10" defaultColWidth="8.83203125" defaultRowHeight="15" x14ac:dyDescent="0.2"/>
  <cols>
    <col min="2" max="2" width="23.33203125" customWidth="1"/>
    <col min="3" max="3" width="30.5" customWidth="1"/>
    <col min="4" max="4" width="29.1640625" customWidth="1"/>
    <col min="5" max="5" width="25.33203125" customWidth="1"/>
    <col min="6" max="6" width="17" customWidth="1"/>
    <col min="7" max="7" width="18.33203125" customWidth="1"/>
    <col min="8" max="8" width="17.6640625" customWidth="1"/>
    <col min="9" max="9" width="13.83203125" customWidth="1"/>
    <col min="10" max="10" width="17.6640625" customWidth="1"/>
    <col min="11" max="11" width="22.33203125" customWidth="1"/>
    <col min="12" max="12" width="76.83203125" customWidth="1"/>
    <col min="13" max="13" width="103.1640625" customWidth="1"/>
    <col min="14" max="14" width="33.83203125" customWidth="1"/>
  </cols>
  <sheetData>
    <row r="1" spans="1:14" ht="66" x14ac:dyDescent="0.2">
      <c r="A1" s="3" t="s">
        <v>0</v>
      </c>
      <c r="B1" s="3" t="s">
        <v>1</v>
      </c>
      <c r="C1" s="4" t="s">
        <v>3</v>
      </c>
      <c r="D1" s="3" t="s">
        <v>4</v>
      </c>
      <c r="E1" s="4" t="s">
        <v>5</v>
      </c>
      <c r="F1" s="4" t="s">
        <v>7</v>
      </c>
      <c r="G1" s="4" t="s">
        <v>8</v>
      </c>
      <c r="H1" s="4" t="s">
        <v>9</v>
      </c>
      <c r="I1" s="4" t="s">
        <v>10</v>
      </c>
      <c r="J1" s="4" t="s">
        <v>11</v>
      </c>
      <c r="K1" s="4" t="s">
        <v>6</v>
      </c>
      <c r="L1" s="4" t="s">
        <v>12</v>
      </c>
      <c r="M1" s="4" t="s">
        <v>378</v>
      </c>
      <c r="N1" s="4" t="s">
        <v>15</v>
      </c>
    </row>
    <row r="2" spans="1:14" ht="342.5" hidden="1" customHeight="1" x14ac:dyDescent="0.2">
      <c r="A2" s="23">
        <v>1</v>
      </c>
      <c r="B2" s="20" t="s">
        <v>117</v>
      </c>
      <c r="C2" s="20" t="s">
        <v>118</v>
      </c>
      <c r="D2" s="20" t="s">
        <v>119</v>
      </c>
      <c r="E2" s="21">
        <v>47547203012</v>
      </c>
      <c r="F2" s="21">
        <v>3780</v>
      </c>
      <c r="G2" s="21">
        <v>2857</v>
      </c>
      <c r="H2" s="22">
        <v>923</v>
      </c>
      <c r="I2" s="24">
        <v>0.75582010582010584</v>
      </c>
      <c r="J2" s="23" t="s">
        <v>82</v>
      </c>
      <c r="K2" s="23" t="s">
        <v>50</v>
      </c>
      <c r="L2" s="11" t="s">
        <v>120</v>
      </c>
      <c r="M2" s="11" t="s">
        <v>349</v>
      </c>
      <c r="N2" s="25" t="s">
        <v>121</v>
      </c>
    </row>
    <row r="3" spans="1:14" ht="208.5" hidden="1" customHeight="1" x14ac:dyDescent="0.2">
      <c r="A3" s="10">
        <v>2</v>
      </c>
      <c r="B3" s="5" t="s">
        <v>117</v>
      </c>
      <c r="C3" s="5" t="s">
        <v>122</v>
      </c>
      <c r="D3" s="5" t="s">
        <v>123</v>
      </c>
      <c r="E3" s="7">
        <v>17702853748</v>
      </c>
      <c r="F3" s="7">
        <v>1162</v>
      </c>
      <c r="G3" s="7">
        <v>0</v>
      </c>
      <c r="H3" s="8">
        <v>1162</v>
      </c>
      <c r="I3" s="9">
        <v>0</v>
      </c>
      <c r="J3" s="10" t="s">
        <v>82</v>
      </c>
      <c r="K3" s="10" t="s">
        <v>50</v>
      </c>
      <c r="L3" s="11" t="s">
        <v>124</v>
      </c>
      <c r="M3" s="11" t="s">
        <v>350</v>
      </c>
      <c r="N3" s="25" t="s">
        <v>121</v>
      </c>
    </row>
    <row r="4" spans="1:14" ht="291" hidden="1" customHeight="1" x14ac:dyDescent="0.2">
      <c r="A4" s="10">
        <v>1</v>
      </c>
      <c r="B4" s="5" t="s">
        <v>117</v>
      </c>
      <c r="C4" s="5" t="s">
        <v>125</v>
      </c>
      <c r="D4" s="5" t="s">
        <v>126</v>
      </c>
      <c r="E4" s="7">
        <v>983838843</v>
      </c>
      <c r="F4" s="7">
        <v>18</v>
      </c>
      <c r="G4" s="7">
        <v>0</v>
      </c>
      <c r="H4" s="8">
        <v>18</v>
      </c>
      <c r="I4" s="9">
        <v>0</v>
      </c>
      <c r="J4" s="10" t="s">
        <v>82</v>
      </c>
      <c r="K4" s="10" t="s">
        <v>127</v>
      </c>
      <c r="L4" s="11" t="s">
        <v>128</v>
      </c>
      <c r="M4" s="11" t="s">
        <v>324</v>
      </c>
      <c r="N4" s="25" t="s">
        <v>121</v>
      </c>
    </row>
    <row r="5" spans="1:14" ht="220" hidden="1" x14ac:dyDescent="0.2">
      <c r="A5" s="10">
        <v>2</v>
      </c>
      <c r="B5" s="5" t="s">
        <v>117</v>
      </c>
      <c r="C5" s="5" t="s">
        <v>129</v>
      </c>
      <c r="D5" s="5" t="s">
        <v>130</v>
      </c>
      <c r="E5" s="7">
        <v>224679205</v>
      </c>
      <c r="F5" s="7">
        <v>1</v>
      </c>
      <c r="G5" s="7">
        <v>0</v>
      </c>
      <c r="H5" s="8">
        <v>1</v>
      </c>
      <c r="I5" s="9">
        <v>0</v>
      </c>
      <c r="J5" s="10" t="s">
        <v>82</v>
      </c>
      <c r="K5" s="10" t="s">
        <v>127</v>
      </c>
      <c r="L5" s="11" t="s">
        <v>131</v>
      </c>
      <c r="M5" s="11" t="s">
        <v>325</v>
      </c>
      <c r="N5" s="25" t="s">
        <v>121</v>
      </c>
    </row>
    <row r="6" spans="1:14" ht="264" hidden="1" x14ac:dyDescent="0.2">
      <c r="A6" s="10">
        <v>3</v>
      </c>
      <c r="B6" s="5" t="s">
        <v>117</v>
      </c>
      <c r="C6" s="5" t="s">
        <v>132</v>
      </c>
      <c r="D6" s="5" t="s">
        <v>133</v>
      </c>
      <c r="E6" s="37">
        <v>9781028172</v>
      </c>
      <c r="F6" s="37">
        <v>6146</v>
      </c>
      <c r="G6" s="7">
        <v>5983</v>
      </c>
      <c r="H6" s="8">
        <v>163</v>
      </c>
      <c r="I6" s="38">
        <v>0.97347868532378778</v>
      </c>
      <c r="J6" s="10" t="s">
        <v>51</v>
      </c>
      <c r="K6" s="10" t="s">
        <v>50</v>
      </c>
      <c r="L6" s="11" t="s">
        <v>134</v>
      </c>
      <c r="M6" s="11" t="s">
        <v>369</v>
      </c>
      <c r="N6" s="5" t="s">
        <v>135</v>
      </c>
    </row>
    <row r="7" spans="1:14" ht="310.5" hidden="1" customHeight="1" x14ac:dyDescent="0.2">
      <c r="A7" s="10">
        <v>4</v>
      </c>
      <c r="B7" s="5" t="s">
        <v>117</v>
      </c>
      <c r="C7" s="5" t="s">
        <v>136</v>
      </c>
      <c r="D7" s="5" t="s">
        <v>137</v>
      </c>
      <c r="E7" s="7">
        <v>17649963246</v>
      </c>
      <c r="F7" s="7">
        <v>11420</v>
      </c>
      <c r="G7" s="7">
        <v>10078</v>
      </c>
      <c r="H7" s="8">
        <v>1342</v>
      </c>
      <c r="I7" s="9">
        <v>0.88248686514886165</v>
      </c>
      <c r="J7" s="10" t="s">
        <v>51</v>
      </c>
      <c r="K7" s="10" t="s">
        <v>50</v>
      </c>
      <c r="L7" s="11" t="s">
        <v>138</v>
      </c>
      <c r="M7" s="11" t="s">
        <v>379</v>
      </c>
      <c r="N7" s="36" t="s">
        <v>139</v>
      </c>
    </row>
    <row r="8" spans="1:14" ht="350" hidden="1" customHeight="1" x14ac:dyDescent="0.2">
      <c r="A8" s="10">
        <v>5</v>
      </c>
      <c r="B8" s="5" t="s">
        <v>117</v>
      </c>
      <c r="C8" s="5" t="s">
        <v>140</v>
      </c>
      <c r="D8" s="5" t="s">
        <v>141</v>
      </c>
      <c r="E8" s="7">
        <v>10125135685</v>
      </c>
      <c r="F8" s="7">
        <v>6338</v>
      </c>
      <c r="G8" s="7">
        <v>6220.2</v>
      </c>
      <c r="H8" s="8">
        <v>117.80000000000018</v>
      </c>
      <c r="I8" s="9">
        <v>0.98141369517197852</v>
      </c>
      <c r="J8" s="10" t="s">
        <v>51</v>
      </c>
      <c r="K8" s="10" t="s">
        <v>50</v>
      </c>
      <c r="L8" s="11" t="s">
        <v>138</v>
      </c>
      <c r="M8" s="11" t="s">
        <v>368</v>
      </c>
      <c r="N8" s="36" t="s">
        <v>142</v>
      </c>
    </row>
    <row r="9" spans="1:14" ht="220" hidden="1" x14ac:dyDescent="0.2">
      <c r="A9" s="10">
        <v>6</v>
      </c>
      <c r="B9" s="5" t="s">
        <v>117</v>
      </c>
      <c r="C9" s="5" t="s">
        <v>143</v>
      </c>
      <c r="D9" s="5" t="s">
        <v>144</v>
      </c>
      <c r="E9" s="7">
        <v>22251292018</v>
      </c>
      <c r="F9" s="7">
        <v>14274</v>
      </c>
      <c r="G9" s="7">
        <v>11397</v>
      </c>
      <c r="H9" s="8">
        <v>2877</v>
      </c>
      <c r="I9" s="9">
        <v>0.79844472467423289</v>
      </c>
      <c r="J9" s="10" t="s">
        <v>51</v>
      </c>
      <c r="K9" s="10" t="s">
        <v>50</v>
      </c>
      <c r="L9" s="11" t="s">
        <v>138</v>
      </c>
      <c r="M9" s="11" t="s">
        <v>380</v>
      </c>
      <c r="N9" s="36" t="s">
        <v>145</v>
      </c>
    </row>
    <row r="10" spans="1:14" ht="198" hidden="1" x14ac:dyDescent="0.2">
      <c r="A10" s="10">
        <v>7</v>
      </c>
      <c r="B10" s="5" t="s">
        <v>117</v>
      </c>
      <c r="C10" s="5" t="s">
        <v>146</v>
      </c>
      <c r="D10" s="5" t="s">
        <v>147</v>
      </c>
      <c r="E10" s="7">
        <v>7463167245</v>
      </c>
      <c r="F10" s="7">
        <v>4643</v>
      </c>
      <c r="G10" s="7">
        <v>2908</v>
      </c>
      <c r="H10" s="8">
        <v>1735</v>
      </c>
      <c r="I10" s="9">
        <v>0.6263191901787637</v>
      </c>
      <c r="J10" s="10" t="s">
        <v>51</v>
      </c>
      <c r="K10" s="10" t="s">
        <v>50</v>
      </c>
      <c r="L10" s="11" t="s">
        <v>138</v>
      </c>
      <c r="M10" s="11" t="s">
        <v>382</v>
      </c>
      <c r="N10" s="36" t="s">
        <v>145</v>
      </c>
    </row>
    <row r="11" spans="1:14" ht="219.5" hidden="1" customHeight="1" x14ac:dyDescent="0.2">
      <c r="A11" s="10">
        <v>8</v>
      </c>
      <c r="B11" s="5" t="s">
        <v>117</v>
      </c>
      <c r="C11" s="5" t="s">
        <v>148</v>
      </c>
      <c r="D11" s="5" t="s">
        <v>149</v>
      </c>
      <c r="E11" s="7">
        <v>562633602</v>
      </c>
      <c r="F11" s="7">
        <v>265</v>
      </c>
      <c r="G11" s="7">
        <v>251</v>
      </c>
      <c r="H11" s="8">
        <v>14</v>
      </c>
      <c r="I11" s="9">
        <v>0.94716981132075473</v>
      </c>
      <c r="J11" s="10" t="s">
        <v>51</v>
      </c>
      <c r="K11" s="10" t="s">
        <v>50</v>
      </c>
      <c r="L11" s="11" t="s">
        <v>150</v>
      </c>
      <c r="M11" s="5" t="s">
        <v>383</v>
      </c>
      <c r="N11" s="5" t="s">
        <v>351</v>
      </c>
    </row>
    <row r="12" spans="1:14" ht="239" hidden="1" customHeight="1" x14ac:dyDescent="0.2">
      <c r="A12" s="10">
        <v>9</v>
      </c>
      <c r="B12" s="5" t="s">
        <v>117</v>
      </c>
      <c r="C12" s="5" t="s">
        <v>151</v>
      </c>
      <c r="D12" s="5" t="s">
        <v>152</v>
      </c>
      <c r="E12" s="7">
        <v>2899780730</v>
      </c>
      <c r="F12" s="37">
        <v>697</v>
      </c>
      <c r="G12" s="7">
        <v>534</v>
      </c>
      <c r="H12" s="8">
        <v>163</v>
      </c>
      <c r="I12" s="38">
        <v>0.76614060258249639</v>
      </c>
      <c r="J12" s="10" t="s">
        <v>51</v>
      </c>
      <c r="K12" s="10" t="s">
        <v>50</v>
      </c>
      <c r="L12" s="11" t="s">
        <v>153</v>
      </c>
      <c r="M12" s="5" t="s">
        <v>381</v>
      </c>
      <c r="N12" s="5" t="s">
        <v>352</v>
      </c>
    </row>
    <row r="13" spans="1:14" ht="220" hidden="1" x14ac:dyDescent="0.2">
      <c r="A13" s="10">
        <v>1</v>
      </c>
      <c r="B13" s="5" t="s">
        <v>117</v>
      </c>
      <c r="C13" s="5" t="s">
        <v>154</v>
      </c>
      <c r="D13" s="5" t="s">
        <v>155</v>
      </c>
      <c r="E13" s="7">
        <v>216162043</v>
      </c>
      <c r="F13" s="37">
        <v>163</v>
      </c>
      <c r="G13" s="7">
        <v>207</v>
      </c>
      <c r="H13" s="8"/>
      <c r="I13" s="38">
        <v>1</v>
      </c>
      <c r="J13" s="10" t="s">
        <v>156</v>
      </c>
      <c r="K13" s="10" t="s">
        <v>78</v>
      </c>
      <c r="L13" s="11" t="s">
        <v>157</v>
      </c>
      <c r="M13" s="5" t="s">
        <v>343</v>
      </c>
      <c r="N13" s="5" t="s">
        <v>353</v>
      </c>
    </row>
    <row r="14" spans="1:14" ht="198" hidden="1" x14ac:dyDescent="0.2">
      <c r="A14" s="10">
        <v>2</v>
      </c>
      <c r="B14" s="5" t="s">
        <v>117</v>
      </c>
      <c r="C14" s="5" t="s">
        <v>158</v>
      </c>
      <c r="D14" s="5" t="s">
        <v>159</v>
      </c>
      <c r="E14" s="7">
        <v>636530022</v>
      </c>
      <c r="F14" s="37">
        <v>446</v>
      </c>
      <c r="G14" s="7">
        <v>480</v>
      </c>
      <c r="H14" s="8">
        <v>-34</v>
      </c>
      <c r="I14" s="38">
        <v>1</v>
      </c>
      <c r="J14" s="10" t="s">
        <v>156</v>
      </c>
      <c r="K14" s="10" t="s">
        <v>78</v>
      </c>
      <c r="L14" s="11" t="s">
        <v>160</v>
      </c>
      <c r="M14" s="5" t="s">
        <v>344</v>
      </c>
      <c r="N14" s="5" t="s">
        <v>342</v>
      </c>
    </row>
    <row r="15" spans="1:14" ht="198" hidden="1" x14ac:dyDescent="0.2">
      <c r="A15" s="10">
        <v>3</v>
      </c>
      <c r="B15" s="5" t="s">
        <v>117</v>
      </c>
      <c r="C15" s="5" t="s">
        <v>161</v>
      </c>
      <c r="D15" s="5" t="s">
        <v>162</v>
      </c>
      <c r="E15" s="7">
        <v>347707099</v>
      </c>
      <c r="F15" s="7">
        <v>218</v>
      </c>
      <c r="G15" s="7">
        <v>0</v>
      </c>
      <c r="H15" s="8">
        <v>218</v>
      </c>
      <c r="I15" s="9">
        <v>0</v>
      </c>
      <c r="J15" s="10" t="s">
        <v>156</v>
      </c>
      <c r="K15" s="10" t="s">
        <v>127</v>
      </c>
      <c r="L15" s="11" t="s">
        <v>163</v>
      </c>
      <c r="M15" s="5" t="s">
        <v>355</v>
      </c>
      <c r="N15" s="5" t="s">
        <v>354</v>
      </c>
    </row>
    <row r="16" spans="1:14" ht="132" hidden="1" x14ac:dyDescent="0.2">
      <c r="A16" s="10">
        <v>1</v>
      </c>
      <c r="B16" s="5" t="s">
        <v>117</v>
      </c>
      <c r="C16" s="5" t="s">
        <v>164</v>
      </c>
      <c r="D16" s="5" t="s">
        <v>165</v>
      </c>
      <c r="E16" s="7">
        <v>190642074</v>
      </c>
      <c r="F16" s="7">
        <v>52</v>
      </c>
      <c r="G16" s="7">
        <v>71</v>
      </c>
      <c r="H16" s="8"/>
      <c r="I16" s="9">
        <v>1</v>
      </c>
      <c r="J16" s="10" t="s">
        <v>156</v>
      </c>
      <c r="K16" s="10" t="s">
        <v>166</v>
      </c>
      <c r="L16" s="11" t="s">
        <v>167</v>
      </c>
      <c r="M16" s="5" t="s">
        <v>345</v>
      </c>
      <c r="N16" s="5" t="s">
        <v>356</v>
      </c>
    </row>
    <row r="17" spans="1:14" ht="286" hidden="1" x14ac:dyDescent="0.2">
      <c r="A17" s="10">
        <v>3</v>
      </c>
      <c r="B17" s="5" t="s">
        <v>117</v>
      </c>
      <c r="C17" s="5" t="s">
        <v>168</v>
      </c>
      <c r="D17" s="5" t="s">
        <v>169</v>
      </c>
      <c r="E17" s="7">
        <v>106576466</v>
      </c>
      <c r="F17" s="37">
        <v>59</v>
      </c>
      <c r="G17" s="7">
        <v>35</v>
      </c>
      <c r="H17" s="8"/>
      <c r="I17" s="38">
        <v>1</v>
      </c>
      <c r="J17" s="10" t="s">
        <v>156</v>
      </c>
      <c r="K17" s="10" t="s">
        <v>78</v>
      </c>
      <c r="L17" s="11" t="s">
        <v>170</v>
      </c>
      <c r="M17" s="5" t="s">
        <v>346</v>
      </c>
      <c r="N17" s="5" t="s">
        <v>357</v>
      </c>
    </row>
    <row r="18" spans="1:14" ht="242" hidden="1" x14ac:dyDescent="0.2">
      <c r="A18" s="10">
        <v>10</v>
      </c>
      <c r="B18" s="5" t="s">
        <v>117</v>
      </c>
      <c r="C18" s="5" t="s">
        <v>171</v>
      </c>
      <c r="D18" s="5" t="s">
        <v>172</v>
      </c>
      <c r="E18" s="7">
        <v>1117663079</v>
      </c>
      <c r="F18" s="7">
        <v>667</v>
      </c>
      <c r="G18" s="7">
        <v>574.20000000000005</v>
      </c>
      <c r="H18" s="8">
        <v>92.799999999999955</v>
      </c>
      <c r="I18" s="9">
        <v>0.86086956521739133</v>
      </c>
      <c r="J18" s="10" t="s">
        <v>173</v>
      </c>
      <c r="K18" s="10" t="s">
        <v>50</v>
      </c>
      <c r="L18" s="11" t="s">
        <v>174</v>
      </c>
      <c r="M18" s="11" t="s">
        <v>362</v>
      </c>
      <c r="N18" s="5" t="s">
        <v>361</v>
      </c>
    </row>
    <row r="19" spans="1:14" ht="268.5" hidden="1" customHeight="1" x14ac:dyDescent="0.2">
      <c r="A19" s="10">
        <v>11</v>
      </c>
      <c r="B19" s="5" t="s">
        <v>117</v>
      </c>
      <c r="C19" s="5" t="s">
        <v>176</v>
      </c>
      <c r="D19" s="5" t="s">
        <v>177</v>
      </c>
      <c r="E19" s="7">
        <v>2140671314</v>
      </c>
      <c r="F19" s="7">
        <v>375</v>
      </c>
      <c r="G19" s="7">
        <v>222</v>
      </c>
      <c r="H19" s="8">
        <v>153</v>
      </c>
      <c r="I19" s="9">
        <v>0.59199999999999997</v>
      </c>
      <c r="J19" s="10" t="s">
        <v>173</v>
      </c>
      <c r="K19" s="10" t="s">
        <v>50</v>
      </c>
      <c r="L19" s="11" t="s">
        <v>178</v>
      </c>
      <c r="M19" s="5" t="s">
        <v>363</v>
      </c>
      <c r="N19" s="5" t="s">
        <v>175</v>
      </c>
    </row>
    <row r="20" spans="1:14" ht="154" x14ac:dyDescent="0.2">
      <c r="A20" s="10">
        <v>4</v>
      </c>
      <c r="B20" s="5" t="s">
        <v>117</v>
      </c>
      <c r="C20" s="5" t="s">
        <v>179</v>
      </c>
      <c r="D20" s="5" t="s">
        <v>180</v>
      </c>
      <c r="E20" s="7">
        <v>6653875358</v>
      </c>
      <c r="F20" s="37">
        <v>4259</v>
      </c>
      <c r="G20" s="7">
        <v>3705.66</v>
      </c>
      <c r="H20" s="8">
        <v>553.34000000000015</v>
      </c>
      <c r="I20" s="38">
        <v>0.87007748297722465</v>
      </c>
      <c r="J20" s="10" t="s">
        <v>173</v>
      </c>
      <c r="K20" s="10" t="s">
        <v>78</v>
      </c>
      <c r="L20" s="11" t="s">
        <v>181</v>
      </c>
      <c r="M20" s="5" t="s">
        <v>384</v>
      </c>
      <c r="N20" s="5" t="s">
        <v>348</v>
      </c>
    </row>
    <row r="21" spans="1:14" ht="225" hidden="1" customHeight="1" x14ac:dyDescent="0.2">
      <c r="A21" s="10">
        <v>12</v>
      </c>
      <c r="B21" s="5" t="s">
        <v>117</v>
      </c>
      <c r="C21" s="5" t="s">
        <v>182</v>
      </c>
      <c r="D21" s="5" t="s">
        <v>183</v>
      </c>
      <c r="E21" s="7">
        <v>263884511</v>
      </c>
      <c r="F21" s="7">
        <v>116</v>
      </c>
      <c r="G21" s="7">
        <v>120</v>
      </c>
      <c r="H21" s="8">
        <v>-4</v>
      </c>
      <c r="I21" s="9">
        <v>1.0344827586206897</v>
      </c>
      <c r="J21" s="10" t="s">
        <v>51</v>
      </c>
      <c r="K21" s="10" t="s">
        <v>50</v>
      </c>
      <c r="L21" s="11" t="s">
        <v>184</v>
      </c>
      <c r="M21" s="5" t="s">
        <v>364</v>
      </c>
      <c r="N21" s="5" t="s">
        <v>358</v>
      </c>
    </row>
    <row r="22" spans="1:14" ht="198" x14ac:dyDescent="0.2">
      <c r="A22" s="10">
        <v>5</v>
      </c>
      <c r="B22" s="5" t="s">
        <v>117</v>
      </c>
      <c r="C22" s="5" t="s">
        <v>185</v>
      </c>
      <c r="D22" s="5" t="s">
        <v>186</v>
      </c>
      <c r="E22" s="7">
        <v>436559818</v>
      </c>
      <c r="F22" s="7">
        <v>317</v>
      </c>
      <c r="G22" s="7">
        <v>262</v>
      </c>
      <c r="H22" s="8">
        <v>55</v>
      </c>
      <c r="I22" s="9">
        <v>0.82649842271293372</v>
      </c>
      <c r="J22" s="10" t="s">
        <v>51</v>
      </c>
      <c r="K22" s="10" t="s">
        <v>78</v>
      </c>
      <c r="L22" s="11" t="s">
        <v>187</v>
      </c>
      <c r="M22" s="5" t="s">
        <v>347</v>
      </c>
      <c r="N22" s="5" t="s">
        <v>359</v>
      </c>
    </row>
    <row r="23" spans="1:14" ht="176" hidden="1" x14ac:dyDescent="0.2">
      <c r="A23" s="10">
        <v>4</v>
      </c>
      <c r="B23" s="5" t="s">
        <v>117</v>
      </c>
      <c r="C23" s="5" t="s">
        <v>188</v>
      </c>
      <c r="D23" s="5" t="s">
        <v>189</v>
      </c>
      <c r="E23" s="7">
        <v>422044898</v>
      </c>
      <c r="F23" s="7">
        <v>234</v>
      </c>
      <c r="G23" s="7">
        <v>126.2</v>
      </c>
      <c r="H23" s="8">
        <v>107.8</v>
      </c>
      <c r="I23" s="9">
        <v>0.53931623931623929</v>
      </c>
      <c r="J23" s="10" t="s">
        <v>51</v>
      </c>
      <c r="K23" s="10" t="s">
        <v>127</v>
      </c>
      <c r="L23" s="11" t="s">
        <v>190</v>
      </c>
      <c r="M23" s="5" t="s">
        <v>365</v>
      </c>
      <c r="N23" s="5" t="s">
        <v>360</v>
      </c>
    </row>
    <row r="24" spans="1:14" ht="22" x14ac:dyDescent="0.2">
      <c r="A24" s="39" t="s">
        <v>231</v>
      </c>
      <c r="B24" s="39"/>
      <c r="C24" s="39"/>
      <c r="D24" s="39"/>
      <c r="E24" s="40">
        <v>149723892188</v>
      </c>
      <c r="F24" s="40">
        <v>55650</v>
      </c>
      <c r="G24" s="40">
        <v>46031.259999999995</v>
      </c>
      <c r="H24" s="40">
        <v>9657.739999999998</v>
      </c>
      <c r="I24" s="41">
        <v>0.82715651392632517</v>
      </c>
      <c r="J24" s="6"/>
      <c r="K24" s="6"/>
      <c r="L24" s="6"/>
      <c r="M24" s="6"/>
      <c r="N24"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4FB5-B19A-4B16-9C03-82E65E9B180C}">
  <dimension ref="A1:Q4"/>
  <sheetViews>
    <sheetView topLeftCell="F1" zoomScale="30" zoomScaleNormal="30" workbookViewId="0">
      <selection activeCell="J7" sqref="J7"/>
    </sheetView>
  </sheetViews>
  <sheetFormatPr baseColWidth="10" defaultColWidth="8.6640625" defaultRowHeight="31" x14ac:dyDescent="0.35"/>
  <cols>
    <col min="1" max="1" width="14.33203125" style="122" customWidth="1"/>
    <col min="2" max="2" width="35.1640625" style="122" customWidth="1"/>
    <col min="3" max="3" width="38.33203125" style="125" customWidth="1"/>
    <col min="4" max="4" width="37" style="125" customWidth="1"/>
    <col min="5" max="5" width="40" style="122" customWidth="1"/>
    <col min="6" max="6" width="28.83203125" style="122" customWidth="1"/>
    <col min="7" max="7" width="24.5" style="122" customWidth="1"/>
    <col min="8" max="8" width="26.6640625" style="122" customWidth="1"/>
    <col min="9" max="9" width="24" style="122" customWidth="1"/>
    <col min="10" max="11" width="29.1640625" style="122" customWidth="1"/>
    <col min="12" max="12" width="128.6640625" style="122" customWidth="1"/>
    <col min="13" max="13" width="95.6640625" style="122" customWidth="1"/>
    <col min="14" max="14" width="105.33203125" style="122" customWidth="1"/>
    <col min="15" max="15" width="50" style="122" customWidth="1"/>
    <col min="16" max="16384" width="8.6640625" style="122"/>
  </cols>
  <sheetData>
    <row r="1" spans="1:17" ht="132" customHeight="1" x14ac:dyDescent="0.35">
      <c r="A1" s="124" t="s">
        <v>0</v>
      </c>
      <c r="B1" s="124" t="s">
        <v>1</v>
      </c>
      <c r="C1" s="126" t="s">
        <v>3</v>
      </c>
      <c r="D1" s="126" t="s">
        <v>4</v>
      </c>
      <c r="E1" s="126" t="s">
        <v>5</v>
      </c>
      <c r="F1" s="126" t="s">
        <v>7</v>
      </c>
      <c r="G1" s="126" t="s">
        <v>8</v>
      </c>
      <c r="H1" s="126" t="s">
        <v>9</v>
      </c>
      <c r="I1" s="126" t="s">
        <v>10</v>
      </c>
      <c r="J1" s="126" t="s">
        <v>11</v>
      </c>
      <c r="K1" s="126" t="s">
        <v>6</v>
      </c>
      <c r="L1" s="126" t="s">
        <v>232</v>
      </c>
      <c r="M1" s="126" t="s">
        <v>13</v>
      </c>
      <c r="N1" s="126" t="s">
        <v>15</v>
      </c>
      <c r="O1" s="127" t="s">
        <v>233</v>
      </c>
      <c r="P1" s="126" t="s">
        <v>234</v>
      </c>
      <c r="Q1" s="126" t="s">
        <v>235</v>
      </c>
    </row>
    <row r="2" spans="1:17" ht="224" x14ac:dyDescent="0.35">
      <c r="A2" s="147">
        <v>11</v>
      </c>
      <c r="B2" s="130" t="s">
        <v>46</v>
      </c>
      <c r="C2" s="130" t="s">
        <v>109</v>
      </c>
      <c r="D2" s="130" t="s">
        <v>110</v>
      </c>
      <c r="E2" s="226">
        <v>110942814797</v>
      </c>
      <c r="F2" s="138">
        <v>8837</v>
      </c>
      <c r="G2" s="138">
        <v>4653</v>
      </c>
      <c r="H2" s="145">
        <v>4184</v>
      </c>
      <c r="I2" s="146">
        <v>0.52653615480366645</v>
      </c>
      <c r="J2" s="147" t="s">
        <v>69</v>
      </c>
      <c r="K2" s="147" t="s">
        <v>50</v>
      </c>
      <c r="L2" s="201" t="s">
        <v>111</v>
      </c>
      <c r="M2" s="201" t="s">
        <v>757</v>
      </c>
      <c r="N2" s="202" t="s">
        <v>759</v>
      </c>
    </row>
    <row r="3" spans="1:17" ht="224" x14ac:dyDescent="0.35">
      <c r="A3" s="147">
        <v>12</v>
      </c>
      <c r="B3" s="130" t="s">
        <v>46</v>
      </c>
      <c r="C3" s="130" t="s">
        <v>113</v>
      </c>
      <c r="D3" s="130" t="s">
        <v>114</v>
      </c>
      <c r="E3" s="226">
        <v>21199168948</v>
      </c>
      <c r="F3" s="138">
        <v>14692</v>
      </c>
      <c r="G3" s="138">
        <v>9898</v>
      </c>
      <c r="H3" s="145">
        <v>4794</v>
      </c>
      <c r="I3" s="146">
        <v>0.67369997277429894</v>
      </c>
      <c r="J3" s="147" t="s">
        <v>82</v>
      </c>
      <c r="K3" s="147" t="s">
        <v>50</v>
      </c>
      <c r="L3" s="201" t="s">
        <v>115</v>
      </c>
      <c r="M3" s="201" t="s">
        <v>719</v>
      </c>
      <c r="N3" s="202" t="s">
        <v>728</v>
      </c>
    </row>
    <row r="4" spans="1:17" ht="32" x14ac:dyDescent="0.35">
      <c r="A4" s="222" t="s">
        <v>231</v>
      </c>
      <c r="B4" s="222"/>
      <c r="C4" s="222"/>
      <c r="D4" s="222"/>
      <c r="E4" s="223">
        <v>630106058549.90002</v>
      </c>
      <c r="F4" s="223">
        <v>198158</v>
      </c>
      <c r="G4" s="223">
        <v>126924.9</v>
      </c>
      <c r="H4" s="223">
        <v>71233.100000000006</v>
      </c>
      <c r="I4" s="224">
        <v>0.64052372349337394</v>
      </c>
      <c r="J4" s="137"/>
      <c r="K4" s="137"/>
      <c r="L4" s="178"/>
      <c r="M4" s="179"/>
      <c r="N4" s="178"/>
    </row>
  </sheetData>
  <pageMargins left="0.7" right="0.7" top="0.75" bottom="0.75" header="0.3" footer="0.3"/>
  <pageSetup paperSize="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3883A-C7B6-48A9-A540-1074E96189A2}">
  <dimension ref="A3:Q11"/>
  <sheetViews>
    <sheetView zoomScale="40" zoomScaleNormal="40" workbookViewId="0">
      <pane xSplit="6" ySplit="3" topLeftCell="J4" activePane="bottomRight" state="frozen"/>
      <selection pane="topRight" activeCell="H27" sqref="H27"/>
      <selection pane="bottomLeft" activeCell="H27" sqref="H27"/>
      <selection pane="bottomRight" activeCell="AB32" sqref="AB32"/>
    </sheetView>
  </sheetViews>
  <sheetFormatPr baseColWidth="10" defaultColWidth="8.83203125" defaultRowHeight="15" customHeight="1" x14ac:dyDescent="0.2"/>
  <cols>
    <col min="2" max="2" width="15.5" style="1" customWidth="1"/>
    <col min="3" max="3" width="25.33203125" customWidth="1"/>
    <col min="4" max="4" width="24.83203125" hidden="1" customWidth="1"/>
    <col min="5" max="5" width="53.6640625" bestFit="1" customWidth="1"/>
    <col min="6" max="6" width="27.6640625" customWidth="1"/>
    <col min="7" max="7" width="38" bestFit="1" customWidth="1"/>
    <col min="8" max="8" width="15.83203125" customWidth="1"/>
    <col min="9" max="12" width="20.6640625" customWidth="1"/>
    <col min="13" max="13" width="24.5" customWidth="1"/>
    <col min="14" max="14" width="138.6640625" customWidth="1"/>
    <col min="15" max="15" width="127.83203125" customWidth="1"/>
    <col min="16" max="16" width="62.5" style="12" customWidth="1"/>
    <col min="17" max="17" width="17.5" hidden="1" customWidth="1"/>
  </cols>
  <sheetData>
    <row r="3" spans="1:17" ht="114" x14ac:dyDescent="0.25">
      <c r="A3" s="17"/>
      <c r="B3" s="68" t="s">
        <v>0</v>
      </c>
      <c r="C3" s="68" t="s">
        <v>1</v>
      </c>
      <c r="D3" s="68" t="s">
        <v>2</v>
      </c>
      <c r="E3" s="69" t="s">
        <v>3</v>
      </c>
      <c r="F3" s="68" t="s">
        <v>4</v>
      </c>
      <c r="G3" s="69" t="s">
        <v>5</v>
      </c>
      <c r="H3" s="69" t="s">
        <v>7</v>
      </c>
      <c r="I3" s="69" t="s">
        <v>8</v>
      </c>
      <c r="J3" s="69" t="s">
        <v>9</v>
      </c>
      <c r="K3" s="69" t="s">
        <v>10</v>
      </c>
      <c r="L3" s="69" t="s">
        <v>11</v>
      </c>
      <c r="M3" s="69" t="s">
        <v>6</v>
      </c>
      <c r="N3" s="69" t="s">
        <v>12</v>
      </c>
      <c r="O3" s="69" t="s">
        <v>13</v>
      </c>
      <c r="P3" s="69" t="s">
        <v>15</v>
      </c>
      <c r="Q3" s="13" t="s">
        <v>233</v>
      </c>
    </row>
    <row r="4" spans="1:17" s="2" customFormat="1" ht="408.5" customHeight="1" x14ac:dyDescent="0.2">
      <c r="A4" s="18"/>
      <c r="B4" s="70">
        <v>1</v>
      </c>
      <c r="C4" s="71" t="s">
        <v>191</v>
      </c>
      <c r="D4" s="72" t="s">
        <v>66</v>
      </c>
      <c r="E4" s="73" t="s">
        <v>316</v>
      </c>
      <c r="F4" s="71" t="s">
        <v>317</v>
      </c>
      <c r="G4" s="74">
        <v>425152292</v>
      </c>
      <c r="H4" s="72">
        <v>190</v>
      </c>
      <c r="I4" s="70">
        <v>0</v>
      </c>
      <c r="J4" s="75">
        <f>H4-I4</f>
        <v>190</v>
      </c>
      <c r="K4" s="76">
        <f t="shared" ref="K4:K5" si="0">I4/H4</f>
        <v>0</v>
      </c>
      <c r="L4" s="70" t="s">
        <v>51</v>
      </c>
      <c r="M4" s="70" t="s">
        <v>127</v>
      </c>
      <c r="N4" s="77" t="s">
        <v>318</v>
      </c>
      <c r="O4" s="71" t="s">
        <v>671</v>
      </c>
      <c r="P4" s="78" t="s">
        <v>388</v>
      </c>
      <c r="Q4" s="14">
        <v>45985</v>
      </c>
    </row>
    <row r="5" spans="1:17" s="2" customFormat="1" ht="300.5" customHeight="1" x14ac:dyDescent="0.2">
      <c r="A5" s="18"/>
      <c r="B5" s="70">
        <v>2</v>
      </c>
      <c r="C5" s="71" t="s">
        <v>191</v>
      </c>
      <c r="D5" s="72" t="s">
        <v>66</v>
      </c>
      <c r="E5" s="73" t="s">
        <v>319</v>
      </c>
      <c r="F5" s="71" t="s">
        <v>320</v>
      </c>
      <c r="G5" s="74">
        <v>768397677</v>
      </c>
      <c r="H5" s="72">
        <v>450</v>
      </c>
      <c r="I5" s="70">
        <v>0</v>
      </c>
      <c r="J5" s="75">
        <f t="shared" ref="J5" si="1">H5-I5</f>
        <v>450</v>
      </c>
      <c r="K5" s="76">
        <f t="shared" si="0"/>
        <v>0</v>
      </c>
      <c r="L5" s="70" t="s">
        <v>51</v>
      </c>
      <c r="M5" s="70" t="s">
        <v>127</v>
      </c>
      <c r="N5" s="77" t="s">
        <v>321</v>
      </c>
      <c r="O5" s="71" t="s">
        <v>672</v>
      </c>
      <c r="P5" s="78" t="s">
        <v>388</v>
      </c>
      <c r="Q5" s="15">
        <v>45985</v>
      </c>
    </row>
    <row r="6" spans="1:17" ht="49" customHeight="1" x14ac:dyDescent="0.45">
      <c r="A6" s="17"/>
      <c r="B6" s="234" t="s">
        <v>231</v>
      </c>
      <c r="C6" s="234"/>
      <c r="D6" s="234"/>
      <c r="E6" s="234"/>
      <c r="F6" s="234"/>
      <c r="G6" s="79">
        <f>SUBTOTAL(9,G4:G5)</f>
        <v>1193549969</v>
      </c>
      <c r="H6" s="79">
        <f t="shared" ref="H6:J6" si="2">SUBTOTAL(9,H4:H5)</f>
        <v>640</v>
      </c>
      <c r="I6" s="79">
        <f t="shared" si="2"/>
        <v>0</v>
      </c>
      <c r="J6" s="79">
        <f t="shared" si="2"/>
        <v>640</v>
      </c>
      <c r="K6" s="80">
        <f t="shared" ref="K6" si="3">I6/H6</f>
        <v>0</v>
      </c>
      <c r="L6" s="81"/>
      <c r="M6" s="81"/>
      <c r="N6" s="81"/>
      <c r="O6" s="81"/>
      <c r="P6" s="78"/>
      <c r="Q6" s="16"/>
    </row>
    <row r="9" spans="1:17" x14ac:dyDescent="0.2">
      <c r="P9" s="12">
        <v>45985</v>
      </c>
    </row>
    <row r="10" spans="1:17" x14ac:dyDescent="0.2">
      <c r="P10" s="12">
        <v>45705</v>
      </c>
    </row>
    <row r="11" spans="1:17" x14ac:dyDescent="0.2">
      <c r="P11" s="19">
        <f>P9-P10</f>
        <v>280</v>
      </c>
    </row>
  </sheetData>
  <mergeCells count="1">
    <mergeCell ref="B6:F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Okt-26</vt:lpstr>
      <vt:lpstr>Okt 25</vt:lpstr>
      <vt:lpstr>Apr 26</vt:lpstr>
      <vt:lpstr>Kar Apr 26</vt:lpstr>
      <vt:lpstr>B3 </vt:lpstr>
      <vt:lpstr>Jahi Apr 26</vt:lpstr>
      <vt:lpstr>Sheet2</vt:lpstr>
      <vt:lpstr>Apr 25</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 Febriyanto</dc:creator>
  <cp:keywords/>
  <dc:description/>
  <cp:lastModifiedBy>Indradi Kridiasto</cp:lastModifiedBy>
  <cp:revision/>
  <dcterms:created xsi:type="dcterms:W3CDTF">2026-04-07T07:00:06Z</dcterms:created>
  <dcterms:modified xsi:type="dcterms:W3CDTF">2026-06-23T22:37:46Z</dcterms:modified>
  <cp:category/>
  <cp:contentStatus/>
</cp:coreProperties>
</file>