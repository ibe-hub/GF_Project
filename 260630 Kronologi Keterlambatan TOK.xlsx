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d08144d28462779f/ABJ/Database/Dashboard/"/>
    </mc:Choice>
  </mc:AlternateContent>
  <xr:revisionPtr revIDLastSave="45" documentId="13_ncr:1_{DFDD72FE-6FC4-42EA-8296-039D93634DDD}" xr6:coauthVersionLast="47" xr6:coauthVersionMax="47" xr10:uidLastSave="{FCF5FFD3-48CC-4986-91E5-665BCC558202}"/>
  <bookViews>
    <workbookView xWindow="-108" yWindow="-108" windowWidth="23256" windowHeight="12456" activeTab="3" xr2:uid="{749869CA-D30B-4281-AE71-6762383850ED}"/>
  </bookViews>
  <sheets>
    <sheet name="Okt 25" sheetId="4" r:id="rId1"/>
    <sheet name="Apr 25" sheetId="6" r:id="rId2"/>
    <sheet name="Apr 26" sheetId="1" r:id="rId3"/>
    <sheet name="Okt-26" sheetId="16" r:id="rId4"/>
  </sheets>
  <externalReferences>
    <externalReference r:id="rId5"/>
    <externalReference r:id="rId6"/>
  </externalReferences>
  <definedNames>
    <definedName name="__123Graph_A" localSheetId="3" hidden="1">#REF!</definedName>
    <definedName name="__123Graph_A" hidden="1">#REF!</definedName>
    <definedName name="__123Graph_A96DOLLARS" localSheetId="3" hidden="1">#REF!</definedName>
    <definedName name="__123Graph_A96DOLLARS" hidden="1">#REF!</definedName>
    <definedName name="__123Graph_A96EXPEND" hidden="1">#REF!</definedName>
    <definedName name="__123Graph_A96PROFIT" hidden="1">#REF!</definedName>
    <definedName name="__123Graph_A96REVENUE" hidden="1">#REF!</definedName>
    <definedName name="__123Graph_AChart1" hidden="1">#REF!</definedName>
    <definedName name="__123Graph_AChart2" hidden="1">#REF!</definedName>
    <definedName name="__123Graph_ACurrent" hidden="1">#REF!</definedName>
    <definedName name="__123Graph_B" hidden="1">#REF!</definedName>
    <definedName name="__123Graph_B96DOLLARS" hidden="1">#REF!</definedName>
    <definedName name="__123Graph_B96EXPEND" hidden="1">#REF!</definedName>
    <definedName name="__123Graph_B96PROFIT" hidden="1">#REF!</definedName>
    <definedName name="__123Graph_B96REVENUE" hidden="1">#REF!</definedName>
    <definedName name="__123Graph_BChart1" hidden="1">#REF!</definedName>
    <definedName name="__123Graph_BChart2" hidden="1">#REF!</definedName>
    <definedName name="__123Graph_BCurrent" hidden="1">#REF!</definedName>
    <definedName name="__123Graph_C" hidden="1">#REF!</definedName>
    <definedName name="__123Graph_C96DOLLARS" hidden="1">#REF!</definedName>
    <definedName name="__123Graph_C96EXPEND" hidden="1">#REF!</definedName>
    <definedName name="__123Graph_C96PROFIT" hidden="1">#REF!</definedName>
    <definedName name="__123Graph_C96REVENUE" hidden="1">#REF!</definedName>
    <definedName name="__123Graph_CChart1" hidden="1">#REF!</definedName>
    <definedName name="__123Graph_CChart2" hidden="1">#REF!</definedName>
    <definedName name="__123Graph_CCurrent" hidden="1">#REF!</definedName>
    <definedName name="__123Graph_D" hidden="1">#REF!</definedName>
    <definedName name="__123Graph_E" hidden="1">#REF!</definedName>
    <definedName name="__123Graph_F" hidden="1">#REF!</definedName>
    <definedName name="__123Graph_X" hidden="1">#REF!</definedName>
    <definedName name="__123Graph_X96DOLLARS" hidden="1">#REF!</definedName>
    <definedName name="__123Graph_X96EXPEND" hidden="1">#REF!</definedName>
    <definedName name="__123Graph_X96PROFIT" hidden="1">#REF!</definedName>
    <definedName name="__123Graph_X96REVENUE" hidden="1">#REF!</definedName>
    <definedName name="__123Graph_XCurrent" hidden="1">#REF!</definedName>
    <definedName name="_xlnm._FilterDatabase" localSheetId="2" hidden="1">'Apr 26'!$B$4:$AU$53</definedName>
    <definedName name="_xlnm._FilterDatabase" localSheetId="0" hidden="1">'Okt 25'!$B$3:$T$28</definedName>
    <definedName name="_xlnm._FilterDatabase" localSheetId="3" hidden="1">'Okt-26'!$B$3:$P$99</definedName>
    <definedName name="_Key2" localSheetId="3" hidden="1">#REF!</definedName>
    <definedName name="_Key2" hidden="1">#REF!</definedName>
    <definedName name="_Order1" hidden="1">255</definedName>
    <definedName name="_Order2" hidden="1">255</definedName>
    <definedName name="_Sort" localSheetId="3" hidden="1">#REF!</definedName>
    <definedName name="_Sort" hidden="1">#REF!</definedName>
    <definedName name="anscount" hidden="1">5</definedName>
    <definedName name="AS2DocOpenMode" hidden="1">"AS2DocumentEdit"</definedName>
    <definedName name="AS2NamedRange" hidden="1">4</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0" hidden="1">#REF!</definedName>
    <definedName name="BLPH451" hidden="1">#REF!</definedName>
    <definedName name="BLPH452" hidden="1">#REF!</definedName>
    <definedName name="BLPH453" hidden="1">#REF!</definedName>
    <definedName name="BLPH454" hidden="1">#REF!</definedName>
    <definedName name="dd" hidden="1">#REF!</definedName>
    <definedName name="HTML_CodePage" hidden="1">949</definedName>
    <definedName name="HTML_Control" localSheetId="3" hidden="1">{"'??'!$A$1:$I$22"}</definedName>
    <definedName name="HTML_Control" hidden="1">{"'??'!$A$1:$I$22"}</definedName>
    <definedName name="HTML_Description" hidden="1">""</definedName>
    <definedName name="HTML_Email" hidden="1">"jsleea@ahnkwon.co.kr"</definedName>
    <definedName name="HTML_Header" hidden="1">"??"</definedName>
    <definedName name="HTML_LastUpdate" hidden="1">"98-08-21"</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"D:\???\MyHTML.htm"</definedName>
    <definedName name="HTML_Title" hidden="1">"diamonds"</definedName>
    <definedName name="Kategori">[1]Analisis!$N$4:$N$111</definedName>
    <definedName name="limcount" hidden="1">1</definedName>
    <definedName name="RAB">[1]Analisis!$R$4:$R$111</definedName>
    <definedName name="SAPBEXrevision" hidden="1">4</definedName>
    <definedName name="SAPBEXsysID" hidden="1">"BD1"</definedName>
    <definedName name="SAPBEXwbID" hidden="1">"3OX7LPVN5DJHGTNBSTUTKVIWC"</definedName>
    <definedName name="sencount" hidden="1">5</definedName>
    <definedName name="StatusProgram">[1]Analisis!$L$4:$L$111</definedName>
    <definedName name="Strategi">[1]Analisis!$AU$4:$AU$111</definedName>
    <definedName name="TextRefCopyRangeCount" hidden="1">8</definedName>
    <definedName name="TOK">[1]Analisis!$I$4:$I$111</definedName>
    <definedName name="XRefColumnsCount" hidden="1">7</definedName>
    <definedName name="XRefCopyRangeCount" hidden="1">8</definedName>
    <definedName name="XRefPasteRangeCount" hidde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0" i="16" l="1"/>
  <c r="H100" i="16"/>
  <c r="G100" i="16"/>
  <c r="K99" i="16"/>
  <c r="J99" i="16"/>
  <c r="K98" i="16"/>
  <c r="J98" i="16"/>
  <c r="K97" i="16"/>
  <c r="J97" i="16"/>
  <c r="K96" i="16"/>
  <c r="J96" i="16"/>
  <c r="K95" i="16"/>
  <c r="J95" i="16"/>
  <c r="K94" i="16"/>
  <c r="J94" i="16"/>
  <c r="K93" i="16"/>
  <c r="J93" i="16"/>
  <c r="K92" i="16"/>
  <c r="J92" i="16"/>
  <c r="K91" i="16"/>
  <c r="J91" i="16"/>
  <c r="K90" i="16"/>
  <c r="J90" i="16"/>
  <c r="K89" i="16"/>
  <c r="J89" i="16"/>
  <c r="K88" i="16"/>
  <c r="J88" i="16"/>
  <c r="K87" i="16"/>
  <c r="J87" i="16"/>
  <c r="K86" i="16"/>
  <c r="J86" i="16"/>
  <c r="K85" i="16"/>
  <c r="J85" i="16"/>
  <c r="K84" i="16"/>
  <c r="J84" i="16"/>
  <c r="K82" i="16"/>
  <c r="J82" i="16"/>
  <c r="K81" i="16"/>
  <c r="J81" i="16"/>
  <c r="K80" i="16"/>
  <c r="J80" i="16"/>
  <c r="K79" i="16"/>
  <c r="J79" i="16"/>
  <c r="K78" i="16"/>
  <c r="J78" i="16"/>
  <c r="K77" i="16"/>
  <c r="J77" i="16"/>
  <c r="K76" i="16"/>
  <c r="J76" i="16"/>
  <c r="K75" i="16"/>
  <c r="J75" i="16"/>
  <c r="K74" i="16"/>
  <c r="J74" i="16"/>
  <c r="K73" i="16"/>
  <c r="J73" i="16"/>
  <c r="K72" i="16"/>
  <c r="J72" i="16"/>
  <c r="K71" i="16"/>
  <c r="J71" i="16"/>
  <c r="K70" i="16"/>
  <c r="J70" i="16"/>
  <c r="K69" i="16"/>
  <c r="J69" i="16"/>
  <c r="K68" i="16"/>
  <c r="J68" i="16"/>
  <c r="K67" i="16"/>
  <c r="J67" i="16"/>
  <c r="K66" i="16"/>
  <c r="J66" i="16"/>
  <c r="K65" i="16"/>
  <c r="J65" i="16"/>
  <c r="K64" i="16"/>
  <c r="J64" i="16"/>
  <c r="K63" i="16"/>
  <c r="J63" i="16"/>
  <c r="K62" i="16"/>
  <c r="J62" i="16"/>
  <c r="K61" i="16"/>
  <c r="J61" i="16"/>
  <c r="K60" i="16"/>
  <c r="J60" i="16"/>
  <c r="K59" i="16"/>
  <c r="J59" i="16"/>
  <c r="K58" i="16"/>
  <c r="J58" i="16"/>
  <c r="K57" i="16"/>
  <c r="J57" i="16"/>
  <c r="K54" i="16"/>
  <c r="J54" i="16"/>
  <c r="K53" i="16"/>
  <c r="J53" i="16"/>
  <c r="K52" i="16"/>
  <c r="J52" i="16"/>
  <c r="K51" i="16"/>
  <c r="J51" i="16"/>
  <c r="K49" i="16"/>
  <c r="J49" i="16"/>
  <c r="K48" i="16"/>
  <c r="J48" i="16"/>
  <c r="K47" i="16"/>
  <c r="J47" i="16"/>
  <c r="K46" i="16"/>
  <c r="J46" i="16"/>
  <c r="K45" i="16"/>
  <c r="J45" i="16"/>
  <c r="K44" i="16"/>
  <c r="J44" i="16"/>
  <c r="K43" i="16"/>
  <c r="J43" i="16"/>
  <c r="K42" i="16"/>
  <c r="J42" i="16"/>
  <c r="K41" i="16"/>
  <c r="J41" i="16"/>
  <c r="K40" i="16"/>
  <c r="J40" i="16"/>
  <c r="K39" i="16"/>
  <c r="J39" i="16"/>
  <c r="K38" i="16"/>
  <c r="J38" i="16"/>
  <c r="K37" i="16"/>
  <c r="J37" i="16"/>
  <c r="K36" i="16"/>
  <c r="J36" i="16"/>
  <c r="K35" i="16"/>
  <c r="J35" i="16"/>
  <c r="K34" i="16"/>
  <c r="J34" i="16"/>
  <c r="K33" i="16"/>
  <c r="J33" i="16"/>
  <c r="K32" i="16"/>
  <c r="J32" i="16"/>
  <c r="K31" i="16"/>
  <c r="J31" i="16"/>
  <c r="K30" i="16"/>
  <c r="J30" i="16"/>
  <c r="K29" i="16"/>
  <c r="J29" i="16"/>
  <c r="K28" i="16"/>
  <c r="J28" i="16"/>
  <c r="K27" i="16"/>
  <c r="J27" i="16"/>
  <c r="K26" i="16"/>
  <c r="J26" i="16"/>
  <c r="K25" i="16"/>
  <c r="J25" i="16"/>
  <c r="K24" i="16"/>
  <c r="J24" i="16"/>
  <c r="K23" i="16"/>
  <c r="J23" i="16"/>
  <c r="K22" i="16"/>
  <c r="J22" i="16"/>
  <c r="K21" i="16"/>
  <c r="J21" i="16"/>
  <c r="K20" i="16"/>
  <c r="J20" i="16"/>
  <c r="K19" i="16"/>
  <c r="J19" i="16"/>
  <c r="K18" i="16"/>
  <c r="J18" i="16"/>
  <c r="K17" i="16"/>
  <c r="J17" i="16"/>
  <c r="K16" i="16"/>
  <c r="J16" i="16"/>
  <c r="K15" i="16"/>
  <c r="J15" i="16"/>
  <c r="K14" i="16"/>
  <c r="J14" i="16"/>
  <c r="K13" i="16"/>
  <c r="J13" i="16"/>
  <c r="K12" i="16"/>
  <c r="J12" i="16"/>
  <c r="K11" i="16"/>
  <c r="J11" i="16"/>
  <c r="K10" i="16"/>
  <c r="J10" i="16"/>
  <c r="K9" i="16"/>
  <c r="J9" i="16"/>
  <c r="K8" i="16"/>
  <c r="J8" i="16"/>
  <c r="K7" i="16"/>
  <c r="J7" i="16"/>
  <c r="K6" i="16"/>
  <c r="J6" i="16"/>
  <c r="G1" i="16"/>
  <c r="C1" i="16"/>
  <c r="K52" i="1"/>
  <c r="K53" i="1"/>
  <c r="J100" i="16" l="1"/>
  <c r="K100" i="16"/>
  <c r="H54" i="1"/>
  <c r="G54" i="1"/>
  <c r="S53" i="1"/>
  <c r="J53" i="1"/>
  <c r="S52" i="1"/>
  <c r="J52" i="1"/>
  <c r="S51" i="1"/>
  <c r="I51" i="1"/>
  <c r="K51" i="1" s="1"/>
  <c r="S50" i="1"/>
  <c r="I50" i="1"/>
  <c r="S49" i="1"/>
  <c r="I49" i="1"/>
  <c r="K49" i="1" s="1"/>
  <c r="S48" i="1"/>
  <c r="I48" i="1"/>
  <c r="S47" i="1"/>
  <c r="I47" i="1"/>
  <c r="S46" i="1"/>
  <c r="I46" i="1"/>
  <c r="S45" i="1"/>
  <c r="I45" i="1"/>
  <c r="S44" i="1"/>
  <c r="I44" i="1"/>
  <c r="S43" i="1"/>
  <c r="I43" i="1"/>
  <c r="S42" i="1"/>
  <c r="I42" i="1"/>
  <c r="S41" i="1"/>
  <c r="I41" i="1"/>
  <c r="S40" i="1"/>
  <c r="I40" i="1"/>
  <c r="S39" i="1"/>
  <c r="I39" i="1"/>
  <c r="S38" i="1"/>
  <c r="I38" i="1"/>
  <c r="S37" i="1"/>
  <c r="I37" i="1"/>
  <c r="S36" i="1"/>
  <c r="I36" i="1"/>
  <c r="S35" i="1"/>
  <c r="I35" i="1"/>
  <c r="S34" i="1"/>
  <c r="I34" i="1"/>
  <c r="S33" i="1"/>
  <c r="I33" i="1"/>
  <c r="S32" i="1"/>
  <c r="I32" i="1"/>
  <c r="S31" i="1"/>
  <c r="I31" i="1"/>
  <c r="S30" i="1"/>
  <c r="I30" i="1"/>
  <c r="S29" i="1"/>
  <c r="I29" i="1"/>
  <c r="S28" i="1"/>
  <c r="I28" i="1"/>
  <c r="S27" i="1"/>
  <c r="I27" i="1"/>
  <c r="S26" i="1"/>
  <c r="I26" i="1"/>
  <c r="S25" i="1"/>
  <c r="I25" i="1"/>
  <c r="S24" i="1"/>
  <c r="S23" i="1"/>
  <c r="S22" i="1"/>
  <c r="I22" i="1"/>
  <c r="S21" i="1"/>
  <c r="I21" i="1"/>
  <c r="S20" i="1"/>
  <c r="I20" i="1"/>
  <c r="S19" i="1"/>
  <c r="I19" i="1"/>
  <c r="S18" i="1"/>
  <c r="I18" i="1"/>
  <c r="S17" i="1"/>
  <c r="I17" i="1"/>
  <c r="S16" i="1"/>
  <c r="I16" i="1"/>
  <c r="S15" i="1"/>
  <c r="I15" i="1"/>
  <c r="S14" i="1"/>
  <c r="I14" i="1"/>
  <c r="S13" i="1"/>
  <c r="I13" i="1"/>
  <c r="K13" i="1" s="1"/>
  <c r="S12" i="1"/>
  <c r="I12" i="1"/>
  <c r="K12" i="1" s="1"/>
  <c r="S11" i="1"/>
  <c r="I11" i="1"/>
  <c r="S10" i="1"/>
  <c r="I10" i="1"/>
  <c r="S9" i="1"/>
  <c r="I9" i="1"/>
  <c r="S8" i="1"/>
  <c r="I8" i="1"/>
  <c r="S7" i="1"/>
  <c r="I7" i="1"/>
  <c r="S6" i="1"/>
  <c r="I6" i="1"/>
  <c r="K6" i="1" s="1"/>
  <c r="S5" i="1"/>
  <c r="I5" i="1"/>
  <c r="B2" i="1"/>
  <c r="P11" i="6"/>
  <c r="J6" i="6"/>
  <c r="I6" i="6"/>
  <c r="H6" i="6"/>
  <c r="G6" i="6"/>
  <c r="K5" i="6"/>
  <c r="J5" i="6"/>
  <c r="K4" i="6"/>
  <c r="J4" i="6"/>
  <c r="I29" i="4"/>
  <c r="H29" i="4"/>
  <c r="G29" i="4"/>
  <c r="S28" i="4"/>
  <c r="K28" i="4"/>
  <c r="J28" i="4"/>
  <c r="S27" i="4"/>
  <c r="K27" i="4"/>
  <c r="J27" i="4"/>
  <c r="S26" i="4"/>
  <c r="K26" i="4"/>
  <c r="J26" i="4"/>
  <c r="S25" i="4"/>
  <c r="K25" i="4"/>
  <c r="J25" i="4"/>
  <c r="S24" i="4"/>
  <c r="K24" i="4"/>
  <c r="J24" i="4"/>
  <c r="S23" i="4"/>
  <c r="J23" i="4"/>
  <c r="S22" i="4"/>
  <c r="K22" i="4"/>
  <c r="J22" i="4"/>
  <c r="T22" i="4" s="1"/>
  <c r="S21" i="4"/>
  <c r="K21" i="4"/>
  <c r="J21" i="4"/>
  <c r="S20" i="4"/>
  <c r="K20" i="4"/>
  <c r="J20" i="4"/>
  <c r="T20" i="4" s="1"/>
  <c r="S19" i="4"/>
  <c r="K19" i="4"/>
  <c r="J19" i="4"/>
  <c r="T19" i="4" s="1"/>
  <c r="S18" i="4"/>
  <c r="K18" i="4"/>
  <c r="J18" i="4"/>
  <c r="T18" i="4" s="1"/>
  <c r="S17" i="4"/>
  <c r="K17" i="4"/>
  <c r="J17" i="4"/>
  <c r="S16" i="4"/>
  <c r="K16" i="4"/>
  <c r="J16" i="4"/>
  <c r="T16" i="4" s="1"/>
  <c r="S15" i="4"/>
  <c r="J15" i="4"/>
  <c r="T15" i="4" s="1"/>
  <c r="S14" i="4"/>
  <c r="K14" i="4"/>
  <c r="J14" i="4"/>
  <c r="T14" i="4" s="1"/>
  <c r="S13" i="4"/>
  <c r="J13" i="4"/>
  <c r="T13" i="4" s="1"/>
  <c r="T12" i="4"/>
  <c r="S12" i="4"/>
  <c r="S11" i="4"/>
  <c r="K11" i="4"/>
  <c r="J11" i="4"/>
  <c r="T11" i="4" s="1"/>
  <c r="T10" i="4"/>
  <c r="S10" i="4"/>
  <c r="S9" i="4"/>
  <c r="K9" i="4"/>
  <c r="J9" i="4"/>
  <c r="T9" i="4" s="1"/>
  <c r="S8" i="4"/>
  <c r="K8" i="4"/>
  <c r="J8" i="4"/>
  <c r="T7" i="4"/>
  <c r="S7" i="4"/>
  <c r="T6" i="4"/>
  <c r="S6" i="4"/>
  <c r="T5" i="4"/>
  <c r="S5" i="4"/>
  <c r="T4" i="4"/>
  <c r="S4" i="4"/>
  <c r="I2" i="4"/>
  <c r="H2" i="4"/>
  <c r="C2" i="4"/>
  <c r="T17" i="4" l="1"/>
  <c r="T21" i="4"/>
  <c r="T23" i="4"/>
  <c r="K6" i="6"/>
  <c r="J8" i="1"/>
  <c r="K8" i="1"/>
  <c r="J29" i="1"/>
  <c r="K29" i="1"/>
  <c r="J25" i="1"/>
  <c r="K25" i="1"/>
  <c r="J22" i="1"/>
  <c r="K22" i="1"/>
  <c r="J26" i="1"/>
  <c r="K26" i="1"/>
  <c r="J34" i="1"/>
  <c r="K34" i="1"/>
  <c r="J38" i="1"/>
  <c r="K38" i="1"/>
  <c r="J46" i="1"/>
  <c r="K46" i="1"/>
  <c r="J21" i="1"/>
  <c r="J37" i="1"/>
  <c r="K37" i="1"/>
  <c r="J15" i="1"/>
  <c r="K15" i="1"/>
  <c r="J19" i="1"/>
  <c r="K19" i="1"/>
  <c r="J27" i="1"/>
  <c r="K27" i="1"/>
  <c r="J17" i="1"/>
  <c r="K17" i="1"/>
  <c r="J23" i="1"/>
  <c r="K23" i="1"/>
  <c r="J47" i="1"/>
  <c r="K47" i="1"/>
  <c r="J16" i="1"/>
  <c r="K16" i="1"/>
  <c r="J20" i="1"/>
  <c r="K20" i="1"/>
  <c r="J24" i="1"/>
  <c r="K24" i="1"/>
  <c r="J28" i="1"/>
  <c r="K28" i="1"/>
  <c r="K2" i="4"/>
  <c r="J29" i="4"/>
  <c r="K29" i="4" s="1"/>
  <c r="T8" i="4"/>
  <c r="J2" i="4"/>
  <c r="J51" i="1"/>
  <c r="J13" i="1"/>
  <c r="I54" i="1"/>
  <c r="K54" i="1" s="1"/>
  <c r="J6" i="1"/>
  <c r="J12" i="1"/>
  <c r="J5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tc={79A1C6D7-729C-E14B-A6A3-9B799C4B6802}</author>
  </authors>
  <commentList>
    <comment ref="P5" authorId="0" shapeId="0" xr:uid="{79A1C6D7-729C-E14B-A6A3-9B799C4B6802}">
      <text>
        <t>[Threaded comment]
Your version of Excel allows you to read this threaded comment; however, any edits to it will get removed if the file is opened in a newer version of Excel. Learn more: https://go.microsoft.com/fwlink/?linkid=870924
Comment:
    Buat sebagai target dan aktual pelaksanaan:
Hydrotest: xx Mei 2026 (done xxx/05)
Flushing: 19 Mei 2026
 (done xxx/o5)
Tescom: 25 Mei 2026
MC-100:  1 Juni 2026
DPPP:  8 Juni 2026</t>
      </text>
    </comment>
  </commentList>
</comments>
</file>

<file path=xl/sharedStrings.xml><?xml version="1.0" encoding="utf-8"?>
<sst xmlns="http://schemas.openxmlformats.org/spreadsheetml/2006/main" count="2091" uniqueCount="699">
  <si>
    <t>No</t>
  </si>
  <si>
    <t>SPAM</t>
  </si>
  <si>
    <t>Directorat</t>
  </si>
  <si>
    <t>Kode Program</t>
  </si>
  <si>
    <t>Nama Program</t>
  </si>
  <si>
    <t>RAB Jaringan</t>
  </si>
  <si>
    <t>Status Pekerjaan Saat ini</t>
  </si>
  <si>
    <t>Pipa DED
(m)</t>
  </si>
  <si>
    <t>Aktual Pipa (m)</t>
  </si>
  <si>
    <t>Sisa Pekerjaan</t>
  </si>
  <si>
    <t>Progress</t>
  </si>
  <si>
    <t>Kategori Keterlambatan</t>
  </si>
  <si>
    <t>Kronologis Keterlambatan</t>
  </si>
  <si>
    <t>Kondisi Saat Ini</t>
  </si>
  <si>
    <t>DPPP</t>
  </si>
  <si>
    <t>Recovery Plan</t>
  </si>
  <si>
    <t>Tanggal Terbit IPPJU</t>
  </si>
  <si>
    <t>Target IPPJU</t>
  </si>
  <si>
    <t>Deviasi IPPJU</t>
  </si>
  <si>
    <t>Delay PR ABJ</t>
  </si>
  <si>
    <t>Review PR ABJ</t>
  </si>
  <si>
    <t>Delay PO ABJ</t>
  </si>
  <si>
    <t>Review PO ABJ</t>
  </si>
  <si>
    <t>Delay PR Material</t>
  </si>
  <si>
    <t>Review PR Material BPM</t>
  </si>
  <si>
    <t>Delay PR Jasa BPM</t>
  </si>
  <si>
    <t>Review PR Jasa BPM</t>
  </si>
  <si>
    <t>Delay PO Jasa BPM</t>
  </si>
  <si>
    <t>Review PO Jasa BPM</t>
  </si>
  <si>
    <t>Delay Izin</t>
  </si>
  <si>
    <t>Review Izin</t>
  </si>
  <si>
    <t>Delay PCM</t>
  </si>
  <si>
    <t>Review PCM</t>
  </si>
  <si>
    <t>Delay Kick Off</t>
  </si>
  <si>
    <t>Review Kick Off</t>
  </si>
  <si>
    <t>Delay MC-0</t>
  </si>
  <si>
    <t>Review MC-0</t>
  </si>
  <si>
    <t>Delay Konstruksi</t>
  </si>
  <si>
    <t>Review Konstruksi</t>
  </si>
  <si>
    <t>Delay TC</t>
  </si>
  <si>
    <t>Status TC</t>
  </si>
  <si>
    <t>Delay MC-100</t>
  </si>
  <si>
    <t>Review MC-100</t>
  </si>
  <si>
    <t>Delay DPPP</t>
  </si>
  <si>
    <t>Review DPPP</t>
  </si>
  <si>
    <t>Status PO Material</t>
  </si>
  <si>
    <t>Buaran 3 Hilir</t>
  </si>
  <si>
    <t>PMO 2</t>
  </si>
  <si>
    <t>NPP23BURP01A</t>
  </si>
  <si>
    <t>P1A - Jl Pahlawan Revolusi DN600</t>
  </si>
  <si>
    <t>Proses Konstruksi</t>
  </si>
  <si>
    <t>Izin</t>
  </si>
  <si>
    <t>Mulai pekerjaan terlambat, IPPJU belum terbit pada saat pelaksanaan pekerjaan konstruksi yang seharusnya mulai pada tanggal 29 Sep 25. Upload JAKEVO tanggal IPPJU 19 Jul 25, IPPJU terbit tanggal 13 Feb 26. Terlambat 166 Hkal dari target</t>
  </si>
  <si>
    <t>Sudah, OnSchedule</t>
  </si>
  <si>
    <t>Sudah, Delay</t>
  </si>
  <si>
    <t>Belum, Delay</t>
  </si>
  <si>
    <t>Belum</t>
  </si>
  <si>
    <t>NPP23BURP12</t>
  </si>
  <si>
    <t>P12 - Ps Rebo DN1000</t>
  </si>
  <si>
    <t>Sudah</t>
  </si>
  <si>
    <t>NPP23BURS02</t>
  </si>
  <si>
    <t>S2 - Jl Mabes Hankam DN500</t>
  </si>
  <si>
    <t>Flushing</t>
  </si>
  <si>
    <t>Mulai pekerjaan terlambat. IPPJU belum terbit saat jadwal pelaksanaan konstruksi tanggal 29 Sep 25. Upload JakEvo 4 Aug 25, IPPJU terbit 9 Feb 26. Terlambat 135 hari dari target</t>
  </si>
  <si>
    <t>PMO 1</t>
  </si>
  <si>
    <t>24ABJ.NINBUR145</t>
  </si>
  <si>
    <t>PC 145</t>
  </si>
  <si>
    <t>Izin, Material &amp; Teknis</t>
  </si>
  <si>
    <t>1. Mulai pekerjaan terlambat, IPPJU belum terbit pada saat pelaksanaan pekerjaan konstruksi yang seharusnya mulai pada tanggal 3 Nov 25. Upload JAKEVO tanggal 22 Aug 25, IPPJU terbit tanggal 11 Mei 26. Terlambat 190 Hkal dari target.
2. Adanya penambahan Jalur akibat perubahan desain dari crossing sungai kalimalang. Saat ini proses pengurusan izin penambahan jalur tersebut.
4. Material terlambat MOS (terutama material Tee DCI), material tersebut sudah MOS semua per tgl 16 Maret 2026.</t>
  </si>
  <si>
    <t>24ABJ.NINBUR156</t>
  </si>
  <si>
    <t>PC 156</t>
  </si>
  <si>
    <t>Izin &amp; Teknis</t>
  </si>
  <si>
    <t>1. Mulai pekerjaan terlambat, IPPJU belum terbit pada saat pelaksanaan pekerjaan konstruksi yang seharusnya mulai pada tanggal 1 Des 25. Upload JAKEVO tanggal 22 Aug 25, IPPJU terbit tanggal 11 Mei 26. Terlambat 162 Hkal dari target.
2. Pada saat pengurusan izin lingkungan pertama ke RW, pihak RW belum mengizinkan karena ada area yang belum tercakup pada DED.
3. Penambahan scope sudah dibuatkan DED baru dan masuk program TOK Oct 26.
4. Pihak RW sudah mengijinkan untuk dikerjakan setelah lebaran</t>
  </si>
  <si>
    <t>24ABJ.NINBUR161JPEZ1</t>
  </si>
  <si>
    <t>PC 161 - EZ 1</t>
  </si>
  <si>
    <t>Tes Com</t>
  </si>
  <si>
    <t>1. Mulai pekerjaan terlambat, IPPJU belum terbit pada saat pelaksanaan pekerjaan konstruksi yang seharusnya mulai pada tanggal 1 Sep 25. Upload JAKEVO tanggal 14 Aug 25, IPPJU terbit tanggal 17 Mar 26. Terlambat 198 Hkal dari target.
2. Terdapat 1 titik interkoneksi pipa existing belum ditemukan. Sudah dilakukan Test Pit dan survey bersama antara ABJ, PAM Jaya &amp; KPI dan s/d saat ini pipa belum juga ditemukan. AKhirnya diputuskan untuk di dop dan dibuatkan justifikasi teknis.
3. Pemberhentian pekerjaan oleh DBM karena menurut DBM aspek K3 belum terpenuhi</t>
  </si>
  <si>
    <t>24ABJ.NINBUR161JPEZ2</t>
  </si>
  <si>
    <t>PC 161 - EZ 2</t>
  </si>
  <si>
    <t>Izin &amp; Material</t>
  </si>
  <si>
    <t>1. Mulai pekerjaan terlambat, IPPJU belum terbit pada saat pelaksanaan pekerjaan konstruksi yang seharusnya mulai pada tanggal 1 Sep 25. Upload JAKEVO tanggal 14 Aug 25, IPPJU terbit tanggal 11 Mei 26. Terlambat 253 Hkal dari target.
2. Selain itu, perizinan lingkungan baru mengizinkan pekerjaan dimulai dipertengahan bulan Januari 2026
3. Material yang belum MOS : Bend, Coupling, Tee &amp; Surface box</t>
  </si>
  <si>
    <t>24ABJ.NINBUR161JPEZ3</t>
  </si>
  <si>
    <t>PC 161 - EZ 3</t>
  </si>
  <si>
    <t>24ABJ.NINBUR161JPEZ4</t>
  </si>
  <si>
    <t>PC 161 - EZ 4</t>
  </si>
  <si>
    <t>24ABJ.NINBUR161JPEZ6</t>
  </si>
  <si>
    <t>PC 161 - EZ 6</t>
  </si>
  <si>
    <t>1. Mulai pekerjaan terlambat, IPPJU belum terbit pada saat pelaksanaan pekerjaan konstruksi yang seharusnya mulai pada tanggal 1 Sep 25. Upload JAKEVO tanggal IPPJU 18 Sep 25, IPPJU terbit tanggal 7 Mei 26. Terlambat 249 Hkal dari target.
2. Sebagian material aksesoris material belum terbit (terkhusus material DCI perlu dilakukan percepatan)
3. Terdapat septic tank warga pada jalur pipa yang direncanakan</t>
  </si>
  <si>
    <t>24ABJ.NINBUR161JPEZ7</t>
  </si>
  <si>
    <t>PC 161 - EZ 7</t>
  </si>
  <si>
    <t>24ABJ.NINBUR161JPEZ8</t>
  </si>
  <si>
    <t>PC 161 - EZ 8</t>
  </si>
  <si>
    <t>24ABJ.NINBUR161JPEZ11</t>
  </si>
  <si>
    <t>PC 161 - EZ 11</t>
  </si>
  <si>
    <t>24ABJ.NINBUR161JPEZ12</t>
  </si>
  <si>
    <t>PC 161 - EZ 12</t>
  </si>
  <si>
    <t>1. Mulai pekerjaan terlambat, IPPJU belum terbit pada saat pelaksanaan pekerjaan konstruksi yang seharusnya mulai pada tanggal 1 Sep 25, baru dimulai tanggal 2 Feb 26 (test pit). Upload JAKEVO tanggal IPPJU 18 Sep 25, IPPJU terbit tanggal 4 Mei 26. Terlambat 246 Hkal dari target.
2. Material belum MOS: Surface Box (estimasi MOS tgl 30 Apr 26)</t>
  </si>
  <si>
    <t>24ABJ.NPPBUR161JP</t>
  </si>
  <si>
    <t>PC 161 - JDU</t>
  </si>
  <si>
    <t>23ABJ.NINBUR163.2JP</t>
  </si>
  <si>
    <t>PC 163 Kalisari (Pak Endriartono)</t>
  </si>
  <si>
    <t>1. Mulai pekerjaan terlambat, IPPJU belum terbit pada saat pelaksanaan pekerjaan konstruksi yang seharusnya mulai pada tanggal 1 Sep 25. Upload JAKEVO tanggal IPPJU 1 Jul 25, IPPJU terbit tanggal 11 Mei 26. Terlambat 253 Hkal dari target
2. Material belum MOS: Coupling DCI &amp; Loose Flange Steel (Estimasi MOS 15 Mei 26)</t>
  </si>
  <si>
    <t>Jatiluhur Hilir</t>
  </si>
  <si>
    <t>24ABJ.NPPJTCLW010JR</t>
  </si>
  <si>
    <t>TMCL-10</t>
  </si>
  <si>
    <t>1. Perijinan masih dalam proses penerbitan oleh IPPJU, Perijinan Crossing Rel KAI belum terbit.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</si>
  <si>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24ABJ.NPPJTCLW011JR</t>
  </si>
  <si>
    <t>TMCL-11</t>
  </si>
  <si>
    <t>1. Mulai pekerjaan terlambat, IPPJU belum terbit pada saat pelaksanaan pekerjaan konstruksi yang seharusnya mulai pada tanggal 28 Juli 25. Upload JAKEVO tanggal 19 Mei 25, IPPJU terbit tanggal 1 Apr 26. Terlambat 248 Hkal dari target.
2. Sebagian material aksesoris belum MOS</t>
  </si>
  <si>
    <t>24ABJ.NPPJTCLW010.1JR</t>
  </si>
  <si>
    <t>TMCL-10.1 (Interkoneksi Pipa SPAM Ciliwung Hilir - Pipa Eksisting)</t>
  </si>
  <si>
    <t>MC-0</t>
  </si>
  <si>
    <t>1. Perijinan masih dalam proses penerbitan oleh IPPJU, Perijinan Crossing Rel KAI belum realease.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</si>
  <si>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24ABJ.NPPJTCLW010.2JR</t>
  </si>
  <si>
    <t>TMCL-10.2 (Pipa Input PA S001.04)</t>
  </si>
  <si>
    <t>1. Perijinan masih dalam proses penerbitan oleh IPPJU, Perijinan Crossil Rel KAI belum realease.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</si>
  <si>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24ABJ.NINJTS011CLW.01JR</t>
  </si>
  <si>
    <t>PA S011.01</t>
  </si>
  <si>
    <t>Dampak dari perizinan TMCL yg belum selesai sehingga project tidak bisa diselesaikan</t>
  </si>
  <si>
    <t>24ABJ.NINJTS011CLW.02JR</t>
  </si>
  <si>
    <t>PA S011.02</t>
  </si>
  <si>
    <t>1. Izin lingkungan baru didapatkan pada bulan Januari setelah dari kelurahan melakukan evaluasi terhadap pekerjaan S011.1
2. Dampak dari perizinan TMCL yg belum selesai sehingga project tidak bisa diselesaikan</t>
  </si>
  <si>
    <t>24ABJ.NINJTS011CLW.03JR</t>
  </si>
  <si>
    <t>PA S011.03</t>
  </si>
  <si>
    <t>24ABJ.NINJTS011CLW.04JR</t>
  </si>
  <si>
    <t>PA S011.04</t>
  </si>
  <si>
    <t>24ABJ.NINJTS001CLW.04JR</t>
  </si>
  <si>
    <t>PA S001.04</t>
  </si>
  <si>
    <t>24ABJ.NINJTS012.1JR</t>
  </si>
  <si>
    <t>S012 Tebet Utara 1 RW 10</t>
  </si>
  <si>
    <t>1. Terdapat kendala izin dengan kelurahan pada satu ruas jalur pipa sepanjang 265 m</t>
  </si>
  <si>
    <t>24ABJ.NINJTS001.8JR</t>
  </si>
  <si>
    <t>S001 McD Jati Padang (PT Resko National Food)</t>
  </si>
  <si>
    <t>1. Mulai pekerjaan terlambat, IPPJU belum terbit pada saat pelaksanaan pekerjaan konstruksi yang seharusnya mulai pada tanggal 24 Nov 25. Upload JAKEVO tanggal 6 Aug 25, IPPJU terbit tanggal 4 Mei 26. Terlambat 162 Hkal dari target.
2. Selain itu, ada perizinan crossing sungai yang belum terbit</t>
  </si>
  <si>
    <t>24ABJ.NINJTP001.1JR</t>
  </si>
  <si>
    <t>P001 Ruswandi</t>
  </si>
  <si>
    <t>Subkon</t>
  </si>
  <si>
    <t xml:space="preserve">1. Mulai pekerjaan terlambat, IPPJU belum terbit pada saat pelaksanaan pekerjaan konstruksi yang seharusnya mulai pada tanggal 27 Okt 25. Upload JAKEVO tanggal 1 Juli 25, IPPJU terbit tanggal 11 Mei 26. Terlambat 197 Hkal dari target.
2. Kemudian, adanya penolakan dari lingkungan karena izin resmi belum terbit. 
3. Subkon diganti dari PT BDH ke PT CAD karena subkon BDH mengundurkan diri.
</t>
  </si>
  <si>
    <t>24ABJ.NINJT076.01JR</t>
  </si>
  <si>
    <t>PC 076 Kalibaru Barat RT 11 RW 7</t>
  </si>
  <si>
    <t xml:space="preserve">1. Mulai pekerjaan terlambat, IPPJU belum terbit pada saat pelaksanaan pekerjaan konstruksi yang seharusnya mulai pada tanggal 27 Okt 25. Upload JAKEVO tanggal 1 Juli 25, IPPJU terbit tanggal 22 Apr 26. Terlambat 178 Hkal dari target.
2. Kemudian, adanya penolakan dari lingkungan karena izin resmi belum terbit. 
3. Subkon diganti dari PT BDH ke Spectra karena subkon BDH mengundurkan diri.
</t>
  </si>
  <si>
    <t>24ABJ.NINJT068.6JR</t>
  </si>
  <si>
    <t>PC 068 GOR Cakung Barat</t>
  </si>
  <si>
    <t xml:space="preserve">1. Mulai pekerjaan terlambat, IPPJU belum terbit pada saat pelaksanaan pekerjaan konstruksi yang seharusnya mulai pada tanggal 24 Nov 25. Upload JAKEVO tanggal 2 Juli 25, IPPJU terbit tanggal 31 Mar 26. Terlambat 128 Hkal dari target.
2. Pihak RT &amp; RW tidak mengizinkan pekerjaan pemasangan pipa karena terkait janji pemilik GOR belum ditepati.
3. Adanya penggantian subkon dari BDH ke CAD karena subkon sebelumnya mengundurkan diri.
</t>
  </si>
  <si>
    <t>24ABJ.NINJTP008.11JR</t>
  </si>
  <si>
    <t>P008 PT Honor Decoration International</t>
  </si>
  <si>
    <t>Verifikasi MC-100</t>
  </si>
  <si>
    <t xml:space="preserve">1. Mulai pekerjaan terlambat, IPPJU belum terbit pada saat pelaksanaan pekerjaan konstruksi yang seharusnya mulai pada tanggal 24 Nov 25. Upload JAKEVO tanggal 30 Juni 25, IPPJU terbit tanggal 12 Mar 26. Terlambat 109 Hkal dari target.
1. Subkon mundur dari pekerjaan
</t>
  </si>
  <si>
    <t>25ABJ.NINJTB003.1JE</t>
  </si>
  <si>
    <t>B003 Dedy Rahyansyah</t>
  </si>
  <si>
    <t xml:space="preserve">1. Mulai pekerjaan terlambat, IPPJU belum terbit pada saat pelaksanaan pekerjaan konstruksi yang seharusnya mulai pada tanggal 27 Okt 25. Upload JAKEVO tanggal 1 Juli 25, IPPJU terbit tanggal 22 Apr 26. Terlambat 178 Hkal dari target.
2. Kemudian, adanya penolakan dari lingkungan karena izin resmi belum terbit. 
3. Subkon diganti dari PT BDH ke PT CAD karena subkon BDH mengundurkan diri.
</t>
  </si>
  <si>
    <t>24ABJ.NINJT096.1JR</t>
  </si>
  <si>
    <t>Master Meter Syamsudin</t>
  </si>
  <si>
    <t>Teknis</t>
  </si>
  <si>
    <t>1. Mulai pekerjaan terlambat, IPPJU belum terbit pada saat pelaksanaan pekerjaan konstruksi yang seharusnya mulai pada tanggal 27 Okt 25. Upload JAKEVO tanggal 16 Okt 25, IPPJU terbit tanggal 23 Apr 26. Terlambat 179 Hkal dari target.
1. Dari hasil test pit yang diperoleh, direncanakan untuk perubahan metode pekerjaan. Saat ini dalam proses penyusunan Proposal Modifikasi dan akan bersurat terkait perubahan
2. Subkon menolak untuk bekerja dengan PO yang belum disesuaikan terhadap perubahan. Subkon sudah diganti menjadi CAD.</t>
  </si>
  <si>
    <t>24ABJ.NINJT096.1.1JR</t>
  </si>
  <si>
    <t>Master Meter Syamsudin - Reinforcement</t>
  </si>
  <si>
    <t>1. Mulai pekerjaan terlambat, IPPJU belum terbit pada saat pelaksanaan pekerjaan konstruksi yang seharusnya mulai pada tanggal 27 Okt 25. Upload JAKEVO tanggal 16 Okt 25, IPPJU terbit tanggal 23 Apr 26. Terlambat 179 Hkal dari target.
2. Dari hasil test pit yang diperoleh, direncanakan untuk perubahan metoda pekerjaan. Saat ini dalam proses penyusunan Proposal Modifikasi dan akan bersurat terkait perubahan
3. Subkon menolak untuk bekerja dengan PO yang belum disesuaikan terhadap perubahan</t>
  </si>
  <si>
    <t>24ABJ.NINJT076.02JR</t>
  </si>
  <si>
    <t>Master Meter Hasnawati, Kalo, dan Sudirman</t>
  </si>
  <si>
    <t>1. Mulai pekerjaan terlambat, IPPJU belum terbit pada saat pelaksanaan pekerjaan konstruksi yang seharusnya mulai pada tanggal 27 Okt 25. Upload JAKEVO tanggal 9 Sep 25, IPPJU terbit tanggal 2 Apr 26. Terlambat 158 Hkal dari target.
2. Pipa existing untuk interkoneksi tidak ditemukan.</t>
  </si>
  <si>
    <t>24ABJ.NINJT068.2JR</t>
  </si>
  <si>
    <t>PC 068 Tipar Cakung</t>
  </si>
  <si>
    <t xml:space="preserve">Mulai pekerjaan terlambat, IPPJU belum terbit pada saat pelaksanaan pekerjaan konstruksi yang seharusnya mulai pada tanggal 24 Nov 25. Upload JAKEVO tanggal 13 Okt 25, IPPJU terbit tanggal 5 Mei 26. Terlambat 163 Hkal dari target.
</t>
  </si>
  <si>
    <t>24ABJ.NINJT070.6JR</t>
  </si>
  <si>
    <t>PC 070  Kawasan JGC</t>
  </si>
  <si>
    <t>1. Mulai pekerjaan terlambat, IPPJU belum terbit pada saat pelaksanaan pekerjaan konstruksi yang seharusnya mulai pada tanggal 1 Des 25. Upload JAKEVO tanggal 13 Okt 25, IPPJU terbit tanggal 2 Apr 26. Terlambat 123 Hkal dari target.
2. Terkendala masalah retribusi, pada paket Rorotan sudah diberikan retribusi &amp; jaminan sebesar 50 jt, namun jaminan tersebut tidak dikembalikan. Saat ini BPM keberetan untuk memberikan jaminan &amp; retribusi sebesar 15 jt berkaitan dengan hal tersebut.</t>
  </si>
  <si>
    <t>25ABJ.NINJTP004.1JR</t>
  </si>
  <si>
    <t>P004 Jl Tomang Pulo RT 002 RW 05</t>
  </si>
  <si>
    <t>1. Mulai pekerjaan terlambat, IPPJU belum terbit pada saat pelaksanaan pekerjaan konstruksi yang seharusnya mulai pada tanggal 26 Jan 26. Upload JAKEVO tanggal 10 Okt 25, IPPJU terbit tanggal 4 Mei 26. Terlambat 99 Hkal dari target.
2. Terkendala perijinan jalur pipa pada Area Dinas Perkim. PAM Jaya perlu menyampaikan permohonan</t>
  </si>
  <si>
    <t>Karian Serpong Hilir</t>
  </si>
  <si>
    <t>24ABJ.NINKARB006.10JE</t>
  </si>
  <si>
    <t>B006 Ibu Elly</t>
  </si>
  <si>
    <t xml:space="preserve">1. Mulai pekerjaan terlambat, IPPJU belum terbit pada saat pelaksanaan pekerjaan konstruksi yang seharusnya mulai pada tanggal 29 Sep 25. Upload JAKEVO tanggal 30 Juni 25, IPPJU terbit tanggal 13 Mar 26. Terlambat 166 Hkal dari target.
2. Sebagian material aksesoris belum MOS
3. GIS PAM Jaya tidak sesuai dengan kondisi eksisting. Perlu penambahan tarikan pipa
</t>
  </si>
  <si>
    <t>24ABJ.NINKARBN00.1JE</t>
  </si>
  <si>
    <t>BN00 PT Lumas Jaya Industri &amp; PT Honda Mugen</t>
  </si>
  <si>
    <t>Mulai pekerjaan terlambat, IPPJU belum terbit pada saat pelaksanaan pekerjaan konstruksi yang seharusnya mulai pada tanggal 29 Sep 25. Upload JAKEVO tanggal 30 Juni 25, IPPJU terbit tanggal 13 Mar 26. Terlambat 166 Hkal dari target.</t>
  </si>
  <si>
    <t>24ABJ.NINKARBN02.1JE</t>
  </si>
  <si>
    <t>BN02 PT Artha Citra Hutama</t>
  </si>
  <si>
    <t>1. Mulai pekerjaan terlambat, IPPJU belum terbit pada saat pelaksanaan pekerjaan konstruksi yang seharusnya mulai pada tanggal 29 Sep 25. Upload JAKEVO tanggal 26 Mei 25, IPPJU terbit tanggal 11 Mei 26. Terlambat 225 Hkal dari target.
2. Perizinan developer baru didapatkan pada minggu pertama bulan Desember
3. Ada perubahan titik inlet karena titik inlet sesuai DED tidak dizinkan oleh developer sehingga secara sistem harus di remodelling</t>
  </si>
  <si>
    <t>23ABJ.NPPKAR036JE</t>
  </si>
  <si>
    <t>P36 Daan Mogot (DN500)</t>
  </si>
  <si>
    <t>1. Mulai pekerjaan terlambat, IPPJU belum terbit pada saat pelaksanaan pekerjaan konstruksi yang seharusnya mulai pada tanggal 28 Juli 25. Upload JAKEVO tanggal 5 Juli 2023, IPPJU terbit tanggal 27 Feb 24. Terlambat 237 Hkal dari target. 
2. IPPJU yang sudah terbit pada tahun 2024 harus dilakukan pengurusan ulang karena masa izin konstruksinya sudah habis.
3. Sebagian material pipa &amp; aksesoris belum MOS (terkhusus material DCI perlu dilakukan percepatan)
4. Terdapat jalur pipa pada satu area yang meminta kompensasi sebesar 25 Jt.Saat ini PAM Jaya sedang dalam proses koordinasi dengan RW Setempat</t>
  </si>
  <si>
    <t>25ABJ.NINKARB020.2JE</t>
  </si>
  <si>
    <t>B020 Distribusi Daan Mogot</t>
  </si>
  <si>
    <t>1. Mulai pekerjaan terlambat, IPPJU belum terbit pada saat pelaksanaan pekerjaan konstruksi yang seharusnya mulai pada tanggal 27 Okt 25. Upload JAKEVO tanggal 13 Okt 25, IPPJU terbit tanggal 27 Apr 26. Terlambat 177 Hkal dari target.
2. Metode pemasangan pipa yang direncanakan tidak dapat digunakan (manual boring) pada jalur-jalur tertentu. Alhasil diperlukan perubahan metode pemasangan pipa sebagian menjadi HDD
3. Terdapat kendala mengenai penentuan titik HDD dan Manual Boring</t>
  </si>
  <si>
    <t>25ABJ.NINKARB020.3JE</t>
  </si>
  <si>
    <t>B020 Tanjung Pura</t>
  </si>
  <si>
    <t xml:space="preserve">1. Mulai pekerjaan terlambat, IPPJU belum terbit pada saat pelaksanaan pekerjaan konstruksi yang seharusnya mulai pada tanggal 27 Okt 25. Upload JAKEVO tanggal 13 Okt 25, IPPJU terbit tanggal 27 Apr 26. Terlambat 177 Hkal dari target.
2. Adanya kendala izin dari RW terkait kompensasi pekerjaan yang menyisakan pekerjaan pipa sepanjang 417 m.
</t>
  </si>
  <si>
    <t>24ABJ.NINKARB006.6JE</t>
  </si>
  <si>
    <t>B006 CV Jakarta Mall Expressindo</t>
  </si>
  <si>
    <t xml:space="preserve">Mulai pekerjaan terlambat, IPPJU belum terbit pada saat pelaksanaan pekerjaan konstruksi yang seharusnya mulai pada tanggal 1 Des 25. Upload JAKEVO tanggal 15 Okt 25, IPPJU terbit tanggal 27 Apr 26. Terlambat 151 Hkal dari target.
</t>
  </si>
  <si>
    <t>25ABJ.NINKARB006.1JE</t>
  </si>
  <si>
    <t>B006 Charles Kurniawan</t>
  </si>
  <si>
    <t xml:space="preserve">1. Mulai pekerjaan terlambat, IPPJU belum terbit pada saat pelaksanaan pekerjaan konstruksi yang seharusnya mulai pada tanggal 24 Nov 25. Upload JAKEVO tanggal 15 Okt 25, IPPJU terbit tanggal 27 Apr 26. Terlambat 151 Hkal dari target.
2. Sebagian material aksesoris belum MOS
3. GIS PAM Jaya tidak sesuai dengan kondisi eksisting. Perlu penambahan tarikan pipa
</t>
  </si>
  <si>
    <t>25ABJ.NINKARSN01.1JE</t>
  </si>
  <si>
    <t>SN01 Benda Raya &amp; Kemang Fight Gym</t>
  </si>
  <si>
    <t xml:space="preserve">1. Mulai pekerjaan terlambat, IPPJU belum terbit pada saat pelaksanaan pekerjaan konstruksi yang seharusnya mulai pada tanggal 1 Des 25. Upload JAKEVO tanggal 13 Okt 25, IPPJU terbit tanggal 6 Apr 26. Terlambat 127 Hkal dari target.
2. Perijinan crossing sungai belum terbit
</t>
  </si>
  <si>
    <t>23ABJ.NPPKAR036JE.1</t>
  </si>
  <si>
    <t>P36 Daan Mogot (DN500) Pemasangan EFM dan RTU</t>
  </si>
  <si>
    <t>1. Pekerjaan pada program ini dapat dilaksanakan setelah program P36 Daan Mogot selesai</t>
  </si>
  <si>
    <t>25ABJ.NINKARS002.1JE</t>
  </si>
  <si>
    <t>S002 PT Eka Boga Inti</t>
  </si>
  <si>
    <t xml:space="preserve">1. Mulai pekerjaan terlambat, IPPJU belum terbit pada saat pelaksanaan pekerjaan konstruksi yang seharusnya mulai pada tanggal 29 Des 25. Upload JAKEVO tanggal 13 Okt 25, IPPJU terbit tanggal 6 Apr 26. Terlambat 99 Hkal dari target.
2. Sebagian material aksesoris belum MOS
3. GIS PAM Jaya tidak sesuai dengan kondisi eksisting. Perlu penambahan tarikan pipa
</t>
  </si>
  <si>
    <t>Total</t>
  </si>
  <si>
    <t xml:space="preserve">Kronologis Keterlambatan </t>
  </si>
  <si>
    <t>Tanggal IPPJU terbit</t>
  </si>
  <si>
    <t>Target</t>
  </si>
  <si>
    <t>Deviasi</t>
  </si>
  <si>
    <t>SPAM Buaran 3 Hilir</t>
  </si>
  <si>
    <t>NIN23BUR154EZ1</t>
  </si>
  <si>
    <t>PC 154 - EZ 1</t>
  </si>
  <si>
    <t>1. Mulai pekerjaan terlambat, IPPJU belum terbit pada saat pelaksanaan pekerjaan konstruksi yang seharusnya mulai pada tanggal 30 Des 24. Upload JAKEVO tanggal IPPJU 23 Des 24, IPPJU terbit tanggal 10 Des 25. Terlambat 346 Hkal dari target
2. Terdapat pipa sepanjang 258 m dengan metoda HDD yang belum mendapat ijin terkait crossing jalan raya
3. PT Abinaya sebagai subkon tidak mau mengerjakan HDD, sehingga dari SCM melakukan proses PO ulang dan pekerjaan sempat terhenti ± 1 bulan.</t>
  </si>
  <si>
    <t>24ABJ.NINBUR161JPEZ5</t>
  </si>
  <si>
    <t>PC 161 - EZ 5</t>
  </si>
  <si>
    <t>1. Mulai pekerjaan terlambat, IPPJU belum terbit pada saat pelaksanaan pekerjaan konstruksi yang seharusnya mulai pada tanggal 30 Des 24. Upload JAKEVO tanggal IPPJU 26 Des 24, IPPJU terbit tanggal 7 Apr 26. Terlambat 446 Hkal dari target
2. Terdapat beberapa area yang ditolak oleh warga 
3. Selain itu, ada penggantian kontraktor dari Dasveda ke KJS</t>
  </si>
  <si>
    <t>24ABJ.NINBUR161JPEZ13</t>
  </si>
  <si>
    <t>PC 161 - EZ 13</t>
  </si>
  <si>
    <t xml:space="preserve">1. Mulai pekerjaan terlambat, IPPJU belum terbit pada saat pelaksanaan pekerjaan konstruksi yang seharusnya mulai pada tanggal 5 Des 24. Upload JAKEVO tanggal IPPJU 23 Des 24, IPPJU terbit tanggal 12 Mar 26. Terlambat 438 Hkal dari target
2. Perizinan 1 titik crossing sungai belum terbit. Sudah submit dokumen pada tanggal 4 Sep 2025 tetapi sampai saat ini perizinan belum terbit.
3. HT terlambat karena pipa sudah dipasang SR
4. Subkon BDH tidak mau mengerjakan jembatan </t>
  </si>
  <si>
    <t>SPAM Karian Serpong Hilir</t>
  </si>
  <si>
    <t>24ABJ.NPPKARPSG01JE</t>
  </si>
  <si>
    <t>TMPSG-01</t>
  </si>
  <si>
    <t>1. Perizinan IPPJU upload ke Jakevo pada tanggal 28 Feb 2025 sesuai schedule harusnya mulai pengurusan izin di tanggal 10 Feb 2025, sehingga terjadi keterlambatan selama 18 hari
2. Izin IPPJU terbit tanggal 28 Jul 2025, sesuai dengan SK Dinas Penanaman Modal dan PTSP nomor e-0034 tahun 2022, SLA IPPJU adalah 29 hari Kerja sehingga terjadi keterlambatan selama 4 bulan
3. Selain itu ada kendala pada perizinan corssing jalan tol dari Hutama Karya, dimana perizinan baru diterbitkan tanggal 12 Des 2025, dimana dokumen sudah disubmit tanggal 25 Apr 2025.
4. Setelah itu ada proses perizinan pemanfaatan lahan parkir MRT yang sudah mulai diproses bulan Sep 2025. karena ada penolakan rencana kerja awal dari pihak MRT, sehingga harus dilaksanakan joint survety ke 2 tgl 9 Okt 2025 dan surat kompensasi dari PT Centerpark baru terbit tgl 11 Okt 2025.</t>
  </si>
  <si>
    <t>Sudah DPPP</t>
  </si>
  <si>
    <t>24ABJ.NPPKARPSG02JE</t>
  </si>
  <si>
    <t>TMPSG-02</t>
  </si>
  <si>
    <t>1. Submit Jakevo pada tanggal 5 Maret 2025 yang seharusnya sudah mulai pengurusan izin di tanggal 10 Feb 2025, sehingga terjadi keterlambatan selama 1 bulan
2. Izin IPPJU baru terbit di tanggal 28 Jul 2025. Sesuai dengan SK Dinas Penanaman Modal dan PTSP nomor e-0034 tahun 2022, SLA IPPJU adalah 29 hari Kerja sehingga terjadi keterlambatan selama 4 bulan
3. Dari IPPJU terbit, masih ada proses STLAK. Perizinan STLAK baru dikeluarkan 30 Sept 2025. Keterlambatan terbit terjadi karena adanya kekhawatiran dari DBM akan terjadinya tumpukan kemacetan di area lokasi sehingga diarahkan untuk pelaksanaan proyek ini dimulai saat TMPSG-01 sudah selesai.
4. Kemudian, karena area lokasi berada di jalan sempit sehingga pelaksanaan konstruksi baru dapat dimulai pukul 22.00 s.d 04.00 sehingga membutuhkan waktu penyelesaian lebih lama.</t>
  </si>
  <si>
    <t>24ABJ.NPPKARPSG04JE</t>
  </si>
  <si>
    <t>TMPSG-04</t>
  </si>
  <si>
    <t>1. Izin IPPJU baru terbit di tanggal 5 Agustus 2025. Sesuai dengan SK Dinas Penanaman Modal dan PTSP nomor e-0034 tahun 2022, SLA IPPJU adalah 29 hari Kerja sehingga terjadi keterlambatan selama 6 bulan
2. Dari IPPJU terbit, masih ada proses izin untuk crossing KAI. Sudah submit dokumen tgl 17 Mar 2025. Pelaksanaan Survey baru dilaksanakan 12 Nov 2025 dan sampai dengan saat ini perizinan dari KAI belum terbit
3. Proses MOS baru selesai dilaksanakan 15 Maret 2026, dari rencana 8 Juni 2025
4. Dari IPPJU terbit, masih ada proses STALAK. Perizinan STALAK baru dikeluarkan 30 Sept 2025.
5. Selain itu, adanya perizinan crossing SDA yang belum terbit. 
6. Kemudian, karena area lokasi berada di jalan sempit sehingga pelaksanaan konstruksi baru dapat dimulai pukul 22.00 s.d 04.00 sehingga membutuhkan waktu penyelesaian lebih lama.</t>
  </si>
  <si>
    <t>24ABJ.NPPKARPSG08JE</t>
  </si>
  <si>
    <t>TMPSG-08</t>
  </si>
  <si>
    <t>1. Submit Jakevo pada tanggal 5 Maret 2025 yang seharusnya sudah mulai pengurusan izin di tanggal 10 Feb 2025, sehingga terjadi keterlambatan selama 1 bulan
2. Izin IPPJU baru terbit di tanggal 28 Jul 2025. Sesuai dengan SK Dinas Penanaman Modal dan PTSP nomor e-0034 tahun 2022, SLA IPPJU adalah 29 hari Kerja sehingga terjadi keterlambatan selama 4 bulan
3. Dai IPPJU, masih ada perizinan untuk crossing Toll - Jasamarga. 
4. Dari IPPJU terbit, masih ada proses STALAK. Perizinan STALAK baru dikeluarkan 11 Nov 2025. Keterlambatan terbit terjadi karena adanya kekhawatiran dari DBM akan terjadinya tumpukan kemacetan di area lokasi sehingga diarahkan untuk pelaksanaan proyek ini dimulai saat TMPSG-01 sudah selesai.</t>
  </si>
  <si>
    <t>NIN23KABB020.3</t>
  </si>
  <si>
    <t>B020 Citra 8</t>
  </si>
  <si>
    <t>1. Adanya perubahan metode dari manual boring ke HDD, sehingga adanya perubahan subkon dari FUJ ke BDH
2. Adanya kerusakan alat karena medan yang ekstrim (mata bor patah).
3. Terkait adanya audit pada Citra, sehingga alat konstruksi tidak bisa ditinggalkan di lokasi, sehingga efektifitas pekerjaan menurun</t>
  </si>
  <si>
    <t>NIN23KABB020.4</t>
  </si>
  <si>
    <t>B020 Citra 2 Ext</t>
  </si>
  <si>
    <t xml:space="preserve">1. Sudah submit Jakevo pada tanggal 8 Nov 2023 tetapi baru terbit izinnya pada tanggal 7 Des 2025. 
2. Selain itu terkendala perizinan dari RW setempat karena permintaan kompensasi dan CSR yang masih dalam tahap negosiasi.
3. Penentuan titik interkoneksi pada outlet WTP CItra. </t>
  </si>
  <si>
    <t>NIN23KABB020.5</t>
  </si>
  <si>
    <t>B020 Citra 2</t>
  </si>
  <si>
    <t xml:space="preserve">1. Adanya penolakan warga, RW meminta kompensasi. 
2. Terdapat sisa pekerjaan pemasangan pipa di Jl. 01 Maret tetapi masih menunggu citra 2 ext selesai konstruksi
</t>
  </si>
  <si>
    <t>24ABJ.NINKARS006PSG.13JE</t>
  </si>
  <si>
    <t>S006 Pesanggrahan - EZ 13</t>
  </si>
  <si>
    <t>1. Perizinan IPPJU belum terbit sampai dengan Des 2025,sedangkan upload dokumen ke Jakevo sudah dilakukan dari 13 Mei 2025.
2. Terdapat penambahan 2 titik input pemasangan pipa dia 160mm sekitar 300m mengikuti pit jacking TMPSG-04, sehingga kegiatan konstruksi masih berlangsung.</t>
  </si>
  <si>
    <t>24ABJ.NINKARS006PSG.14JE</t>
  </si>
  <si>
    <t>S006 Pesanggrahan - EZ 14</t>
  </si>
  <si>
    <t>1. Perizinan IPPJU belum terbit, sedangkan upload dokumen ke Jakevo sudah dilakukan dari 13 Mei 2025.
2. Perizinan crossing sungai SDA belum terbit 
3. Terdapat pekerjaan yang beririsan dengan TMPSG-02 sehingga harus menunggu pekerjaan jacking TMPSG-02 selesai.</t>
  </si>
  <si>
    <t>24ABJ.NINKARS006PSG.15JE</t>
  </si>
  <si>
    <t>S006 Pesanggrahan - EZ 15</t>
  </si>
  <si>
    <t xml:space="preserve">1. Perizinan IPPJU belum terbit sampai dengan bulan April 2026
2. Terkendala juga karena menunggu pekerjaan yang beririsan dengan jalur TMPSG-02 </t>
  </si>
  <si>
    <t>24ABJ.NINKARS006PSG.16JE</t>
  </si>
  <si>
    <t>S006 Pesanggrahan - EZ 16</t>
  </si>
  <si>
    <t>1. Perizinan IPPJU belum terbit sejak rekomtek terbit pada tanggal 27 Nov 2025
2. Selain itu, ada proses perizinan untuk wilayah PUPR. Sudah dilakukan koordinasi dan terdapat permintaan di luar cakupan pekerjaan (pemasangan pipa casing fiber optik)</t>
  </si>
  <si>
    <t>24ABJ.NINKARS006PSG.17JE</t>
  </si>
  <si>
    <t>S006 Pesanggrahan - EZ 17</t>
  </si>
  <si>
    <t>1. Perizinan IPPJU belum terbit sejak rekomtek terbit pada tanggal 24 Nov 2025
2. Selain itu, terdapat proyek SDA yang terkena dampak dari pemasangan pipa.</t>
  </si>
  <si>
    <t>24ABJ.NINKARS006PSG.18JE</t>
  </si>
  <si>
    <t>S006 Pesanggrahan - EZ 18</t>
  </si>
  <si>
    <t>1. Perizinan IPPJU belum terbit sejak rekomtek terbit pada tanggal 24 Nov 2025
2. Selain itu adanya kendala perizinan lingkungan untuk pemasangan pipa di Bukit Mas.</t>
  </si>
  <si>
    <t>SPAM Jatiluhur Hilir</t>
  </si>
  <si>
    <t>24ABJ.NBVJTA01</t>
  </si>
  <si>
    <t>Lodan DN400</t>
  </si>
  <si>
    <t>Izin, Teknis, &amp; Material</t>
  </si>
  <si>
    <t>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baru keluar 2 sd 3 bulan setelah test selesai dilaksanakan.
4. Pemasangan EFM tidak boleh dipasang dibadan jembatan.</t>
  </si>
  <si>
    <t>24ABJ.NBVJTA02</t>
  </si>
  <si>
    <t>Kp Bandan DN400</t>
  </si>
  <si>
    <t>Cancel</t>
  </si>
  <si>
    <t>1. Pekerjaan pondasi jembatan pipa direlokasi karena terdampak pondasi pembangunan proyek tol harbour II dan belum ada keputusan dari pihak tol (CMNP) terkait lokasi penempatan jembatan pipa.</t>
  </si>
  <si>
    <t>24ABJ.NBVJTA07</t>
  </si>
  <si>
    <t>Kwitang 2 DN900</t>
  </si>
  <si>
    <t xml:space="preserve">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Pemasangan EFM tidak boleh dipasang dibadan jembatan. </t>
  </si>
  <si>
    <t>24ABJ.NBVJTA08</t>
  </si>
  <si>
    <t>Diponegoro DN500</t>
  </si>
  <si>
    <t xml:space="preserve">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Pemasangan EFM tidak boleh dipasang dibadan jembatan. </t>
  </si>
  <si>
    <t>24ABJ.NBVJTA09</t>
  </si>
  <si>
    <t>Matraman DN600</t>
  </si>
  <si>
    <t>24ABJ.NBVJTA12</t>
  </si>
  <si>
    <t>MT Haryono DN1000</t>
  </si>
  <si>
    <t>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PAM JAYA menyatakan untuk pemasangan EFM tidak boleh dipasang dibadan jembatan.</t>
  </si>
  <si>
    <t>24ABJ.NINJT087.2JR</t>
  </si>
  <si>
    <t>Master Meter Basri</t>
  </si>
  <si>
    <t xml:space="preserve">1. Status kepemilikan area tidak jelas, sehingga perlu koordinasi dengan Walikota Jakarta Utara. Dari hasil koordinasi, diputuskan bahwa diminta mempertimbangkan kembali pemasangan pipa di area tsb.
</t>
  </si>
  <si>
    <t>24ABJ.NINJT065.1JR</t>
  </si>
  <si>
    <t>Master Meter Usman</t>
  </si>
  <si>
    <t>24ABJ.NINKARB004.1JE</t>
  </si>
  <si>
    <t>B004 SPBU BP AKR</t>
  </si>
  <si>
    <t>1. Sampai dengan Apr 2026, perizinan IPPJU masih belum terbit. 
2. ABJ sudah bersurat untuk program ini dikeluarkan dari Okt 2025</t>
  </si>
  <si>
    <t>24ABJ.NINKARS002.3JE</t>
  </si>
  <si>
    <t>S002 SPBU Shell TB Simatupang</t>
  </si>
  <si>
    <t>1. Sampai dengan akhir bulan Maret 2025 perizinan IPPJU dari DBM belum terbit.
2. Sudah dilakukan survey bersama DBM pada tanggal 16 Mei 2025 dimana pekerjaan baru dapat dilaksanakan setelah mendapat izin IPPJU karena lokasi yang ditargetkan berpotensi akan menimbulkan kemacetan yang lebih parah pada saat konstruksi. 
3. Adanya perubahan metode dari manual boring menjadi HDD dikarenakan issue kemacetan di Jl. TB Simatupang</t>
  </si>
  <si>
    <t>23ABJ.NINKARS002.2</t>
  </si>
  <si>
    <t>S002 Gaharu</t>
  </si>
  <si>
    <t>1. Adanya penolakan dari warga setempat, dimana warga meminta sosialisasi dari PAM dan dikarenakan area pekerjaan berada di jalan raya dan lalu lintas cukup padat, maka pekerjaan bisa dimulai jika IPPJU sudah terbit.</t>
  </si>
  <si>
    <t xml:space="preserve">Hydrotest: 17 Juli 2026
Flushing: 24 Juli 2026
Tescom: 31 Juli 2026
MC-100: 7 Aug 2026
DPPP: 14 Aug 2026 
</t>
  </si>
  <si>
    <t xml:space="preserve">
Flushing: 17 Aug 2026
Tes Com: 28 Aug 2026
MC100: 4 Sept 2026
DPPP: 11 Sept 2026</t>
  </si>
  <si>
    <t>25ABJ.NINBUR162.1JP</t>
  </si>
  <si>
    <t>PC 162 Hanjuang</t>
  </si>
  <si>
    <t>25ABJ.NINBUR162.9JP</t>
  </si>
  <si>
    <t>PC 162 Jl. Centex Gg. Jengki</t>
  </si>
  <si>
    <t>25ABJ.NINBUR162.5JP</t>
  </si>
  <si>
    <t>PC 162 Heavenly Residence</t>
  </si>
  <si>
    <t>25ABJ.NINBUR162.8JP</t>
  </si>
  <si>
    <t>PC 162 Bapak Sukarno</t>
  </si>
  <si>
    <t>25ABJ.NINBUR162.10JP</t>
  </si>
  <si>
    <t>PC 162 Jl. Tanah Merdeka RT 007/RW 004</t>
  </si>
  <si>
    <t>24ABJ.NINBUR156.1</t>
  </si>
  <si>
    <t>PC 156 RT 05 RW 12</t>
  </si>
  <si>
    <t>NPP23JTA B02</t>
  </si>
  <si>
    <t>B2 - Ancol DN800</t>
  </si>
  <si>
    <t>24ABJ.PNAJT151JR1</t>
  </si>
  <si>
    <t>IBP Basura</t>
  </si>
  <si>
    <t>24ABJ.NBVJTA03</t>
  </si>
  <si>
    <t>Mangga Dua DN400</t>
  </si>
  <si>
    <t>24ABJ.NBVJTA04</t>
  </si>
  <si>
    <t>Mangga Besar DN300</t>
  </si>
  <si>
    <t>24ABJ.NBVJTA05</t>
  </si>
  <si>
    <t>Samanhudi DN400</t>
  </si>
  <si>
    <t>24ABJ.NBVJTA06</t>
  </si>
  <si>
    <t>Kwitang 1 DN400</t>
  </si>
  <si>
    <t>24ABJ.NBVJTA11</t>
  </si>
  <si>
    <t>Kp Melayu Besar DN400</t>
  </si>
  <si>
    <t>24ABJ.NINJT051</t>
  </si>
  <si>
    <t>PC 051</t>
  </si>
  <si>
    <t>24ABJ.NINJT054</t>
  </si>
  <si>
    <t>PC 054</t>
  </si>
  <si>
    <t>24ABJ.NINJT069</t>
  </si>
  <si>
    <t>PC 069</t>
  </si>
  <si>
    <t>24ABJ.NINJT070</t>
  </si>
  <si>
    <t>PC 070 Paket Pertama</t>
  </si>
  <si>
    <t>24ABJ.NINJT070.1</t>
  </si>
  <si>
    <t>PC 070 Paket Kedua</t>
  </si>
  <si>
    <t>24ABJ.NPPJT70JR.1</t>
  </si>
  <si>
    <t>Jl. Malaka 1, Jl. Malaka 2, Jl. Malaka 3, &amp; Jl. Rorotan 11</t>
  </si>
  <si>
    <t>24ABJ.NPPJT70JR4</t>
  </si>
  <si>
    <t>Jl. Rorotan 9</t>
  </si>
  <si>
    <t>24ABJ.NPPJT70JR6</t>
  </si>
  <si>
    <t>Menteng Metropolitan - Tambun Rengas (Connect dgn JGC)</t>
  </si>
  <si>
    <t>24ABJ.NINJT073</t>
  </si>
  <si>
    <t>PC 073</t>
  </si>
  <si>
    <t>24ABJ.NINJT074</t>
  </si>
  <si>
    <t>PC 074</t>
  </si>
  <si>
    <t>24ABJ.NINJT075</t>
  </si>
  <si>
    <t>PC 075</t>
  </si>
  <si>
    <t>24ABJ.NINJT077</t>
  </si>
  <si>
    <t>PC 077</t>
  </si>
  <si>
    <t>24ABJ.NINJT146</t>
  </si>
  <si>
    <t>PC 146</t>
  </si>
  <si>
    <t>24ABJ.NINJT148</t>
  </si>
  <si>
    <t>PC 148</t>
  </si>
  <si>
    <t>24ABJ.NINJT149</t>
  </si>
  <si>
    <t>PC 149</t>
  </si>
  <si>
    <t>24ABJ.NINJTS011</t>
  </si>
  <si>
    <t>S011</t>
  </si>
  <si>
    <t>24ABJ.NINJTS012</t>
  </si>
  <si>
    <t>S012</t>
  </si>
  <si>
    <t>25ABJ.NINJT081.1JR</t>
  </si>
  <si>
    <t>PC 081 Kalibaru Barat 13 A Gg Sadar</t>
  </si>
  <si>
    <t>25ABJ.NINJTP006.1JR</t>
  </si>
  <si>
    <t>P006 Jl. Bakti</t>
  </si>
  <si>
    <t>24ABJ.NINJTP008.12JR</t>
  </si>
  <si>
    <t>P008 Sri Devvi Heni Naomi</t>
  </si>
  <si>
    <t>24ABJ.NINJTS010.1JR</t>
  </si>
  <si>
    <t>S010 PT. Falah Inovasi Teknologi</t>
  </si>
  <si>
    <t>25ABJ.NINJT078.2JR</t>
  </si>
  <si>
    <t>PC 078 Aprilliana Picauly</t>
  </si>
  <si>
    <t>25ABJ.NINJT078.3JR</t>
  </si>
  <si>
    <t>PC 078 Sungkun Sianturi</t>
  </si>
  <si>
    <t>25ABJ.NINJT078.5JR</t>
  </si>
  <si>
    <t>PC 078 Sutarno</t>
  </si>
  <si>
    <t>24ABJ.NINJT082.1JR</t>
  </si>
  <si>
    <t>PC 082 Asmawi</t>
  </si>
  <si>
    <t>24ABJ.NINJTP003.2JR</t>
  </si>
  <si>
    <t>P003 M Andi Bharta</t>
  </si>
  <si>
    <t>24ABJ.NINJTP008.3JR</t>
  </si>
  <si>
    <t>P008 PT Phrada</t>
  </si>
  <si>
    <t>24ABJ.NINJTP008.5JR</t>
  </si>
  <si>
    <t>P008 Pergudangan Jembatan III, Lin Chi Chen, Lie Sie Tiat, PT Total Bangun Persada</t>
  </si>
  <si>
    <t>25ABJ.NINJTS008.1JR</t>
  </si>
  <si>
    <t>S008 Puskesmas Mampang Prapatan</t>
  </si>
  <si>
    <t>25ABJ.NINJTS010.3JR</t>
  </si>
  <si>
    <t>S010 Puskesmas Pembantu Mampang Prapatan</t>
  </si>
  <si>
    <t>25ABJ.NINJTS013.1JR</t>
  </si>
  <si>
    <t>S013 Puskesmas Pembantu Bangka</t>
  </si>
  <si>
    <t>25ABJ.NINJT060.1JR</t>
  </si>
  <si>
    <t>PC 060 Jl. Kalibaru Timur 7</t>
  </si>
  <si>
    <t>25ABJ.NINJTS001.3JR</t>
  </si>
  <si>
    <t>S001 RW 06 Pejaten Timur</t>
  </si>
  <si>
    <t>25ABJ.NINJTP002.4JR</t>
  </si>
  <si>
    <t>P002 Kantin Koperasi KEMENDAGRI</t>
  </si>
  <si>
    <t>25ABJ.NINJTP008.4JR</t>
  </si>
  <si>
    <t>P008 Irsan Widjaja</t>
  </si>
  <si>
    <t>25ABJ.NINJTS001.2JR</t>
  </si>
  <si>
    <t>S001 Perumahan Rawa Bambu</t>
  </si>
  <si>
    <t>25ABJ.NINJTP004.2JR</t>
  </si>
  <si>
    <t>P004 Jl Kota Bambu Utara IV</t>
  </si>
  <si>
    <t>24ABJ.NINJTP008.8JR.1</t>
  </si>
  <si>
    <t>Master Meter Misyanto (tambahan)</t>
  </si>
  <si>
    <t>25ABJ.NINJTS009.1JR</t>
  </si>
  <si>
    <t xml:space="preserve">
S009 PT Grha Provisioner Bersama</t>
  </si>
  <si>
    <t>24ABJ.NINJTS001.4JR.1</t>
  </si>
  <si>
    <t>S001 Perumahan Tanjung Mas Raya (tambahan)</t>
  </si>
  <si>
    <t>25ABJ.NINJT054.7JR</t>
  </si>
  <si>
    <t>PC 054 Dinda Ariestia (Cluster Griya Kintamani 2)</t>
  </si>
  <si>
    <t>25ABJ.NINJT056.1JR</t>
  </si>
  <si>
    <t>PC 056 Jl Pulo Gundul</t>
  </si>
  <si>
    <t>25ABJ.NINJT078.6JR.1</t>
  </si>
  <si>
    <t>PC 078 Jl. Perjuangan (tambahan)</t>
  </si>
  <si>
    <t>24ABJ.NPPKARPSG03JE</t>
  </si>
  <si>
    <t>TMPSG-03</t>
  </si>
  <si>
    <t>24ABJ.NPPKARPSG05JE</t>
  </si>
  <si>
    <t>TMPSG-05</t>
  </si>
  <si>
    <t>24ABJ.NINKARS006PSG.04JE</t>
  </si>
  <si>
    <t>S006 Pesanggrahan - EZ 4</t>
  </si>
  <si>
    <t>24ABJ.NINKARS006PSG.05JE</t>
  </si>
  <si>
    <t>S006 Pesanggrahan - EZ 5</t>
  </si>
  <si>
    <t>24ABJ.NINKARS006PSG.06JE</t>
  </si>
  <si>
    <t>S006 Pesanggrahan - EZ 6</t>
  </si>
  <si>
    <t>24ABJ.NINKARS006PSG.07JE</t>
  </si>
  <si>
    <t>S006 Pesanggrahan - EZ 7</t>
  </si>
  <si>
    <t>24ABJ.NINKARS006PSG.08JE</t>
  </si>
  <si>
    <t>S006 Pesanggrahan - EZ 8</t>
  </si>
  <si>
    <t>24ABJ.NINKARS006PSG.09JE</t>
  </si>
  <si>
    <t>S006 Pesanggrahan - EZ 9</t>
  </si>
  <si>
    <t>24ABJ.NINKARS006PSG.10JE</t>
  </si>
  <si>
    <t>S006 Pesanggrahan - EZ 10</t>
  </si>
  <si>
    <t>24ABJ.NINKARS006PSG.11JE</t>
  </si>
  <si>
    <t>S006 Pesanggrahan - EZ 11</t>
  </si>
  <si>
    <t>24ABJ.NINKARS006PSG.12JE</t>
  </si>
  <si>
    <t>S006 Pesanggrahan - EZ 12</t>
  </si>
  <si>
    <t>24ABJ.NINKARS006</t>
  </si>
  <si>
    <t>S006</t>
  </si>
  <si>
    <t>NIN23KABB020.6</t>
  </si>
  <si>
    <t>B020 Tahap Pertama</t>
  </si>
  <si>
    <t>24ABJ.NINKARB019.9JE</t>
  </si>
  <si>
    <t>B019 Kamal gg H Jibobong</t>
  </si>
  <si>
    <t>24ABJ.NINKARB020.16JE</t>
  </si>
  <si>
    <t>B020 Jl. Tanjung Pura</t>
  </si>
  <si>
    <t>24ABJ.NINKARB019.15JE</t>
  </si>
  <si>
    <t>B019 Yayasan Tunas Blossom &amp; SPBU BP</t>
  </si>
  <si>
    <t>25ABJ.NINKARS002.3JE</t>
  </si>
  <si>
    <t>S002 Dirgantoro Tarmizi</t>
  </si>
  <si>
    <t>25ABJ.NINKARS002.4JE</t>
  </si>
  <si>
    <t>S002 Haekal Rizky Yulianto</t>
  </si>
  <si>
    <t>25ABJ.NINKARB016.1JE</t>
  </si>
  <si>
    <t>B016 Kompleks Guru Kapuk Muara</t>
  </si>
  <si>
    <t>25ABJ.NINKARP009.1JE</t>
  </si>
  <si>
    <t>P009 Muhammad Daffa Utama</t>
  </si>
  <si>
    <t>25ABJ.NINKARB020.19JE</t>
  </si>
  <si>
    <t>B020 Ruko Citra Business Park</t>
  </si>
  <si>
    <t>25ABJ.NINKARS014.1JE</t>
  </si>
  <si>
    <t>S014 Sapta Taruna</t>
  </si>
  <si>
    <t>25ABJ.NINKARB014.3JE</t>
  </si>
  <si>
    <t>B014 Puskesmas Pembantu Kembangan Selatan</t>
  </si>
  <si>
    <t>25ABJ.NINKARB016.4JE</t>
  </si>
  <si>
    <t>B016 Tafsir Munir (Gg. Banjir)</t>
  </si>
  <si>
    <t>25ABJ.NINKARS006PSG.13.1JE</t>
  </si>
  <si>
    <t>S006.13 Bumi Bintaro Permai</t>
  </si>
  <si>
    <t>25ABJ.NINKARS006PSG.14.1JE</t>
  </si>
  <si>
    <t>S006.14 Pesanggrahan (Tambahan)</t>
  </si>
  <si>
    <t>25ABJ.NINKARS006PSG.17.1JE</t>
  </si>
  <si>
    <t>S006.17 Pesanggrahan (Tambahan)</t>
  </si>
  <si>
    <t>25ABJ.NINKARS006PSG.18.2JE</t>
  </si>
  <si>
    <t>S006.18 Griya Seroja</t>
  </si>
  <si>
    <t>25ABJ.NINKARS006PSG.18.1JE</t>
  </si>
  <si>
    <t>S006.18 Pesanggrahan (Tambahan)</t>
  </si>
  <si>
    <t>25ABJ.NINKARS006PSG.13.3JE</t>
  </si>
  <si>
    <t>S006.13 Kelurahan Bintaro</t>
  </si>
  <si>
    <t>25ABJ.NINKARS006PSG.13.4JE</t>
  </si>
  <si>
    <t>S006.13 Jl. Kp Bulak RT 08 RW 02</t>
  </si>
  <si>
    <t>25ABJ.NINKARS006PSG.15.1JE</t>
  </si>
  <si>
    <t>S006.15 Pesanggrahan (Tambahan)</t>
  </si>
  <si>
    <t>25ABJ.NINKARB006.4JE</t>
  </si>
  <si>
    <t>B006 Thoriq Firdaus</t>
  </si>
  <si>
    <t>25ABJ.NINKARB006.5JE</t>
  </si>
  <si>
    <t>B006 Joko Martono</t>
  </si>
  <si>
    <t>25ABJ.NINKARB016.5JE</t>
  </si>
  <si>
    <t xml:space="preserve">B016 Gg. Sumur </t>
  </si>
  <si>
    <t>25ABJ.NINKARB016.5.1JE</t>
  </si>
  <si>
    <t>B016 Gg. Sumur Reinforcement</t>
  </si>
  <si>
    <t>25ABJ.NINKARS006.2JE</t>
  </si>
  <si>
    <t>S006 SPBU BP AKR Joglo</t>
  </si>
  <si>
    <t>25ABJ.NINKARB020.17JE</t>
  </si>
  <si>
    <t>B020 Sky Terrace Lagon Condo</t>
  </si>
  <si>
    <t>25ABJ.NINKARB020.11JE</t>
  </si>
  <si>
    <t>B020 Rusunawa Pesakih Tower 6 &amp; 7 (Rusun Daan Mogot)</t>
  </si>
  <si>
    <t>25ABJ.NINKARB020.13JE</t>
  </si>
  <si>
    <t>B020 Paradise Mansion</t>
  </si>
  <si>
    <t>Verifikasi Dokumen MC-100: 22 Mei 2026 (5 Juni 2026) 
DPPP : 12 Juni 2026 (Done 12 Juni 2026)</t>
  </si>
  <si>
    <t>Hydrotest: 26 Juni 2026
Flushing: 2 Juli 2026
Tescom: 7 Juli 2026
MC-100: 12 Juli 2026
DPPP: 19 Juli 2026</t>
  </si>
  <si>
    <t>Flushing: 26 Juni 2026
Tescom: 2 Juli 2026
MC-100: 7 Juli 2026
DPPP: 12 Juli 2026</t>
  </si>
  <si>
    <t>Pekerjaan akan dimulai setelah TMCL-10 selesai konstruksi</t>
  </si>
  <si>
    <t>1. STALAK sudah terbit tanggal 5 Mei 2026, tetapi proses penandatangan baru selesai dilakukan tanggal 18 Juni 2026.
2. Proses konstruksi akan dimulai setelah koordinasi dengan Kelurahan selesai karena akan dikerjakan bersamaan dengan Gaharu.</t>
  </si>
  <si>
    <t xml:space="preserve">
1. STALAK sudah terbit tanggal 5 Mei 2026, tetapi proses penandatangan baru selesai dilakukan tanggal 18 Juni 2026.
2. Terkait koordinasi dengan Kelurahan dan RT RW, belum ada respon dari pihak Kelurahan untuk jadwal koordinasi.</t>
  </si>
  <si>
    <t xml:space="preserve">
Tescom: 25 Mei 2026 (Done 25 Mei 2026
Pengukuran MC-100: 4 Juni 2026 (Done 3 Juni 2026)
DPPP: 19 Juni 2026 (Done 19 Juni 2026)</t>
  </si>
  <si>
    <t>BATAL / CANCEL</t>
  </si>
  <si>
    <t>Pekerjaan konstruksi akan dimulai bulan Sept 2026 karena TMPSG-04 baru selesai di bulan Sept 26.</t>
  </si>
  <si>
    <t xml:space="preserve"> Masih tersisa Pekerjaan HDD menunggu TMPSG-02 selesai. pekerjaan jacking pada TMPSG-02 masih dalam tahap konstruksi sehingga pekerjaan interkoneksi belum dilaksanakan. </t>
  </si>
  <si>
    <t>TOTAL</t>
  </si>
  <si>
    <t>Tes Comm</t>
  </si>
  <si>
    <t xml:space="preserve">Proses pemasangan pipa masih berlangsung. </t>
  </si>
  <si>
    <t>Hold</t>
  </si>
  <si>
    <t>Test Com: 20 Jul 2026
MC 100: 27 Jul 2026
DPPP: 30 Jul 2026</t>
  </si>
  <si>
    <t>Test Com: 22 Mei 2026 (Done 22 Mei 2026)
MC 100: 17 Juni 2026 (Done 17 Juni 2026)
DPPP: 30 Juni 2026</t>
  </si>
  <si>
    <t>Tescom: 20 Mei 2026 (Done 20 Mei 2026)
MC-100: 3 Juni 2026 (Done 29 Mei 2026)
Verifikasi Dokumen MC-100: 26 Juni 2026 
DPPP: 1 Juli 2026</t>
  </si>
  <si>
    <t>Verifikasi Dokumen MC-100: 26 Juni 2026 
DPPP: 1 Juli 2026</t>
  </si>
  <si>
    <t>MC-100: 22 Mei 2026 (Done 22 Mei 2026)
Verifikasi Dokumen MC-100: 26 Juni 2026 
DPPP: 1 Juli 2026</t>
  </si>
  <si>
    <t>Tescom: 22 Mei 2026 (Done 22 Mei 2026)
MC-100: 3 Juni 2026 (Done 2 Juni 2026)
Verifikasi Dokumen MC-100: 26 Juni 2026 
DPPP: 1 Juli 2026</t>
  </si>
  <si>
    <t>Tescom: 20 Mei 2026 (Done 20 Mei 2026)
MC-100: 27 Mei 2026 (Done 29 Mei 2026)
Verifikasi Dokumen MC-100: 26 Juni 2026 
DPPP: 1 Juli 2026</t>
  </si>
  <si>
    <t>Flushing: 31 Juli 2026
Tes Com: 4 Aug 2026
MC 100: 7 Aug 2026
DPPP: 14 Aug 2026</t>
  </si>
  <si>
    <t>Hydrotest: 15 Juli 2026
Interkoneksi: 18 Juli 2026
Flushing: 22 Juli 2026
Tescom: 27 Juli 2026
MC-100:  12 Aug 2026
DPPP: 17 Aug 2026</t>
  </si>
  <si>
    <t>Hydrotest: 25 Juni 2026
Interkoneksi: 27 Juni 2026
Flushing: 30 Juni 2026
Tescom: 5 Juli 2026
MC-100:  10 Juli 2026
DPPP: 15 Juli 2026</t>
  </si>
  <si>
    <t>Hydrotest: 24 Juni 2026
Interkoneksi: 27 Juni 2026
Flushing: 30 Juni 2026
Tescom: 2 Juli 2026
MC-100:  6 Juli 2026
DPPP: 11 Juli 2026</t>
  </si>
  <si>
    <t>Tes Com: 11 Sep 2026
MC-100: 17 Sep 2026
DPPP: 22 Sep 2026</t>
  </si>
  <si>
    <t>Flushing: 5 Aug 2026
Tes Com: 10 Aug 2026
MC-100: 18 Aug 2026
DPPP: 23 Aug 2026</t>
  </si>
  <si>
    <t>Hydrotest: 22 Juni 2026
Interkoneksi : 29 Juni 2026
Flushing: 13 Juli 2026
Tes Com: 18 Juli 2026
MC 100: 2 Sep 2026
DPPP: 7 Sep 2026</t>
  </si>
  <si>
    <t>Hydrotest: 05 Juli 2026
Interkoneksi : 20 Juli 2026
Flushing: 27 Juli 2026
Tes Com: 5 Aug 2026
MC 100: 15 Aug 2026
DPPP: 20 Aug 2026</t>
  </si>
  <si>
    <t>CC</t>
  </si>
  <si>
    <t>Berdasarkan meeting weekly tanggal 25 Juni 2026 terkait penggantian chamber masih menunggu rekomendasi dari KPI. Untuk pemasangan gate valve di atas jembatan masih menunggu justifikasi teknis dari ABJ. Ditargetkan minggu ini Justifikasi Teknis akan dikirimkan</t>
  </si>
  <si>
    <t xml:space="preserve">Penggalian chamber kedua dalam proses pembuatan turap. Ditargetkan minggu kedua Juli </t>
  </si>
  <si>
    <t>Masih proses pemeriksaan dokumen verifikasi MC-100 oleh KPI</t>
  </si>
  <si>
    <t>1. Sisi Selatan - pemasangan aksesoris belum dimulai karena belum dilaksanakan inspeksi QC material. Direncanakan tanggal 25 Juni 2026.
2. Sisi Barat - pelaksanaan singgem masih menunggu izin dari lingkungan karena akan menutup akses jalan. Rencana minggu ke empat Juni sudah bisa dilakukan
1. Sisi Selatan - pemasangan aksesoris belum dimulai karena belum dilaksanakan inspeksi QC material. Akan dilaksanakan setelah sisi barat dan timur selesai interkoneksi.
2. Sisi Barat - sudah diberikan izin oleh lingkungan dan akan dilaksanakan interkoneksi tanggal 30 Juni 2026</t>
  </si>
  <si>
    <t>1. Akan dilakukan inspeksi QC yang akan dilaksanakan tanggal 25 Juni 2026
2. Rencana interkoneksi akan dilaksanakan pada minggu pertama bulan Juli. Menunggu konfirmasi dari PAM terkait dampak pematian aliran 
1. Dokumen QC sudah dikirimkan ke PAM dan KPI. Rencana checklist material akan dilaksanakan minggu pertama Juli
2. Tanggal 29 Juni PAM akan memberikan konfirmasi terkait jadwal interkoneksi. Direncanakan akan dilaksanakan tanggal 4 Juli 2026</t>
  </si>
  <si>
    <t>akan diinterkoneksi dengan TMCL-10 setelah pekerjaan konstruksi selesai.</t>
  </si>
  <si>
    <t>1. Pemasangan aksesoris pipa masih berlangsung
2. Pelaksanaan pemasangan syphon sudah selesai</t>
  </si>
  <si>
    <t>Verifikasi Dokumen MC-100: 26 Juni 2026 (Done 26 Juni 2026)
DPPP : 3 Juli 2026</t>
  </si>
  <si>
    <t>Verifikasi dokumen MC-100 sudah selesai dilaksanakan tanggal 26 Juni 2026</t>
  </si>
  <si>
    <t>Masih dalam proses pemeriksaan dokumen MC-100 oleh KPI</t>
  </si>
  <si>
    <t xml:space="preserve">Hydrotest: 10 Juni 2026 (Done 8 Juni 2026)
Interkoneksi: 22 Juni 2026 (Done 18 Juni 2026)
Flushing: 24 Juni 2026 (Done 22 Juni 2026)
Tescom: 26 Juni 2026 (Done 24 Juni 2026)
MC-100: 29 Juni 2026
DPPP: 3 Juli 2026
</t>
  </si>
  <si>
    <t>1. Pelaksanaan Tes Com sudah selesai dilaksanakan tanggal 24 Juni 2026
2. Saat ini dalam proses pengukuran MC-100</t>
  </si>
  <si>
    <t>Hydrotest: 13 Juni 2026  (Done 5 Juni 2026)
Interkoneksi: 16 Juni 2026 (Done 5 Juni 2026)
Flushing: 19 Juni 2026  (Done 12 Juni 2026)
Tescom: 23 Juni 2026 (Done 20 Juni 2026)
MC-100: 26 Juni 2026 (Done 26 Juni 2026)
DPPP: 1 Juli 2026</t>
  </si>
  <si>
    <t>1. Pengukuran MC-100 sudah selesai dilaksanakan. 
2. Saat ini proses persiapan verifikasi dokumen MC-100.</t>
  </si>
  <si>
    <t>Direktorat</t>
  </si>
  <si>
    <t>Aktual Pipa
(m)</t>
  </si>
  <si>
    <t>Status Saat ini</t>
  </si>
  <si>
    <t>Kondisi Saat ini &amp; Kendala</t>
  </si>
  <si>
    <t>- IPPJU : Proses Rekomtek 
- Proses izin lingkungan</t>
  </si>
  <si>
    <t>Selesai Konstruksi: 7 Aug 2026
Selesai TC dan MC-100: 25 Aug 2026
DPPP: 30 Aug 2026</t>
  </si>
  <si>
    <t>Selesai Konstruksi: 4 Sep 2026
Selesai TC dan MC-100: 22 Sep 2026
DPPP: 27 Sep 2026</t>
  </si>
  <si>
    <t>Selesai Konstruksi: 7 Aug 2026
Selesai TC dan MC-100: 25 Aug 2026
DPPP: 30 Aug 20262</t>
  </si>
  <si>
    <t>- Flushing sudah selesai dan persiapan Test Comm</t>
  </si>
  <si>
    <t>Selesai Konstruksi: 20 Jul 2026
Selesai TC dan MC-100: 7 Aug 2026
DPPP: 12 Aug 2026</t>
  </si>
  <si>
    <t>Selesai Konstruksi: 10 Sep 2026
Selesai TC dan MC-100: 28 Sep 2026
DPPP: 3 Oct 2026</t>
  </si>
  <si>
    <t>Persiapan Kick Off Meeting</t>
  </si>
  <si>
    <t>- Perubahan metode dari jembatan ke trust boring
- KPI dan PAM Jaya menolak jadwal kick off meeting pada Jumat, 5 Juni 2026 dikarenakan dokumen DPPK perlu direview terlebih dahulu oleh KPI</t>
  </si>
  <si>
    <t>Selesai Konstruksi: 28 Aug 2026
Selesai TC dan MC-100: 15 Sep 2026
DPPP: 20 Sep 2026</t>
  </si>
  <si>
    <t>-Proses Persiapan Konstruksi</t>
  </si>
  <si>
    <t>Selesai Konstruksi: 8 Sep 2026
Selesai TC dan MC-100: 26 Sep 2026
DPPP: 1 Oct 2026</t>
  </si>
  <si>
    <t xml:space="preserve">- Proses Koordinasi Lingkungan
- IPPJU : Proses Rekomtek </t>
  </si>
  <si>
    <t>- Proses Koordinasi Lingkungan
- IPPJU : Proses Rekomtek 
- Subcon mengajukan kenaikan harga satuan</t>
  </si>
  <si>
    <t>- Proses Koordinasi Lingkungan
- IPPJU : Proses Rekomtek</t>
  </si>
  <si>
    <t>Selesai Konstruksi: 21 Aug 2026
Selesai TC dan MC-100: 8 Sep 2026
DPPP: 13 Sep 2026</t>
  </si>
  <si>
    <t xml:space="preserve">IPPJU : Proses Rekomtek </t>
  </si>
  <si>
    <t>Selesai Konstruksi: 31 Jul 2026
Selesai TC dan MC-100: 18 Aug 2026
DPPP: 23 Aug 20262</t>
  </si>
  <si>
    <t>-Telah dilaksanakan pengukuran MC-100, menunggu verifikasi</t>
  </si>
  <si>
    <t>Selesai Konstruksi: 31 Jul 2026
Selesai TC dan MC-100: 18 Aug 2026
DPPP: 23 Aug 2026</t>
  </si>
  <si>
    <t>Proses konstruksi pemasangan pipa dia 63mm, 90mm, 110 mm,160 mm, 200mm</t>
  </si>
  <si>
    <t>Persiapan konstruksi</t>
  </si>
  <si>
    <t>IPPJU : Izin Terbit 
Koordinasi lingkungan &amp; Persiapan Konstruksi</t>
  </si>
  <si>
    <t>- Persiapan konstruksi
- IPPJU : Rekomtek Terbit</t>
  </si>
  <si>
    <t>Selesai Konstruksi: 13 Jul 2026
Selesai TC dan MC-100: 31 Jul 2026
DPPP: 5 Aug 2026</t>
  </si>
  <si>
    <r>
      <t xml:space="preserve">Hydrotest: 5 Juni 2026 (Done)
Interkoneksi: 10 Juni 2026 (Done)
Flushing: 17 Juni 2026 (Done 17 Juni 2026)
</t>
    </r>
    <r>
      <rPr>
        <sz val="24"/>
        <color rgb="FFFF0000"/>
        <rFont val="Calibri"/>
        <family val="2"/>
        <scheme val="minor"/>
      </rPr>
      <t>Tescom: 22 Juni 2026 (terlambat- Done 24 Juni 2026</t>
    </r>
    <r>
      <rPr>
        <sz val="24"/>
        <color theme="1"/>
        <rFont val="Calibri"/>
        <family val="2"/>
        <scheme val="minor"/>
      </rPr>
      <t xml:space="preserve">
MC-100: 29 Juni 2026
DPPP: 3 Juli 2026
</t>
    </r>
  </si>
  <si>
    <r>
      <rPr>
        <sz val="24"/>
        <color rgb="FFFF0000"/>
        <rFont val="Calibri"/>
        <family val="2"/>
        <scheme val="minor"/>
      </rPr>
      <t>Verifikasi MC-100: 19 Juni 2026 (terlambat) - Done 26 Juni 2026</t>
    </r>
    <r>
      <rPr>
        <sz val="24"/>
        <color theme="1"/>
        <rFont val="Calibri"/>
        <family val="2"/>
        <scheme val="minor"/>
      </rPr>
      <t xml:space="preserve">
</t>
    </r>
    <r>
      <rPr>
        <sz val="24"/>
        <color rgb="FFFF0000"/>
        <rFont val="Calibri"/>
        <family val="2"/>
        <scheme val="minor"/>
      </rPr>
      <t>DPPP : 24 Juni 2026 (terlambat)</t>
    </r>
  </si>
  <si>
    <t>Hydrotest: 1 Juni 2026 (Done 4 Mei 2026)
Interkoneksi: 12 Juni 2026 (Done 12 Juni 2026)
Flushing: 19 Juni 2026 (Done 19 Juni 2026)
Tescom: 24 Juni 2026 (Done 24 Juni 2026)
MC-100: 29 Juni 2026
DPPP: 3 Juli 2026</t>
  </si>
  <si>
    <t xml:space="preserve">Hydrotest: 5 Juni 2026 (Done 29 Mei 26 utk EZ 6A)
Interkoneksi: 8 Juni 2026 (Done 13 Mei utk 6B)
Flushing: 15 Juni 2026 (Done 20 Mei 26 utk EZ 6B)
Tescom: 22 Juni 2026 (Done 23 Juni 2026)
MC-100: 29 Juni 2026
DPPP: 3 Juli 2026
</t>
  </si>
  <si>
    <t>Hydrotest: 12 Juni 2026 (15 Mei 2026)
Flushing: 17 Juni 2026 (Done 15 Mei 26)
Tescom: 26 Juni 2026 (Done 26 Juni 2026)
MC-100: 1 Juli 2026
DPPP: 3 Juli 2026</t>
  </si>
  <si>
    <t>1. Tes Com sudah selesai dilaksanakan tanggal 24 Juni 2026
2. Direncanakan akan dilaksanakan pengukuran MC-100 tanggal 30 Juni 2026</t>
  </si>
  <si>
    <r>
      <t xml:space="preserve">Hydrotest: 12 Juni 2026 (Done 9 Juni 2026)
Flushing: 17 Juni 2026 (Done 21 Juni 2026)
</t>
    </r>
    <r>
      <rPr>
        <sz val="24"/>
        <rFont val="Calibri"/>
        <family val="2"/>
        <scheme val="minor"/>
      </rPr>
      <t>Tescom: 24 Juni 2026 (Done 26 Juni 2026)</t>
    </r>
    <r>
      <rPr>
        <sz val="24"/>
        <color theme="1"/>
        <rFont val="Calibri"/>
        <family val="2"/>
        <scheme val="minor"/>
      </rPr>
      <t xml:space="preserve">
MC-100: 30 Juni 2026
DPPP: 3 Juli 2026</t>
    </r>
  </si>
  <si>
    <t>1. Tes Com sudah dilaksanakan tanggal 26 Juni 2026
2. Tanggal 30 Juni 2026 akan dilaksanakan pengukuran MC-100</t>
  </si>
  <si>
    <r>
      <t xml:space="preserve">Hydrotest: 12 Juni 2026 (Done 5 Juni 26)
Flushing: 17 Juni 2026 (Done)
</t>
    </r>
    <r>
      <rPr>
        <sz val="24"/>
        <rFont val="Calibri"/>
        <family val="2"/>
        <scheme val="minor"/>
      </rPr>
      <t>Tescom: 24 Juni 2026 (Done 26 Juni 2026)</t>
    </r>
    <r>
      <rPr>
        <sz val="24"/>
        <color theme="1"/>
        <rFont val="Calibri"/>
        <family val="2"/>
        <scheme val="minor"/>
      </rPr>
      <t xml:space="preserve">
MC-100: 30 Juni 2026
DPPP: 3 Juli 2026</t>
    </r>
  </si>
  <si>
    <t>Saat ini direncanakan akan dilaksanakan pengukuran MC-100 tanggal 1 Juli 2026</t>
  </si>
  <si>
    <t>1. Test Com sudah selesai dilaksanakan tanggal 24 Juni 2026
2. Direncanakan akan dilaksanakan MC-100 tanggal 1 Juli 2026</t>
  </si>
  <si>
    <t xml:space="preserve">Tescom: 5 Juni 2026 (Done 5 Juni 26)
MC-100: 12 Juni 2026 (Done 10 Juni 2026)
Verifikasi dokumen MC-100: 17 Juni 2026 (Done 17 Juni 2026)
DPPP: 25 Juni 2026 (Done 26 Juni 2026)
</t>
  </si>
  <si>
    <t xml:space="preserve">Flushing: 19 Mei 2026 (Done 19 Mei 2026)
Tescom: 3 Juni 2026 (Done 5 Juni 26)
MC-100:  12 Juni 2026 (Done 12 Juni 20260
Verifikasi Dokumen MC-100: 19 Juni 2026 (Done 19 Juni 2026)
DPPP:  26 Juni 2026 (Done 24 Juni 2026)
</t>
  </si>
  <si>
    <t>1. Jacking Crossing Rel KAI Bintaro Puspita dusah selesai Jumat 26 Juni 2026, lanjut pekerjaan Detail Juction target selesai 18 Juli 2026
2. Pekerjaan PIT STA 4+500 dan 5+600 sedang proses pekerjaan pit Layer ke 11 target selesai 5 Juli 2026
3. Opencut STA 4+100 ke arah 4+500 ongoing
4. Press Release sudah terbit tanggal 25 Juni 2026
5. Pipa OD 500 mm HDPE sedang menuggu waktu asistensi dari Dishub
6. Pemasangan pipa crossing Manual Jacking koneksi ke TMPS 7, persiapan asistensi ke DIshub</t>
  </si>
  <si>
    <t>1. Pekerjaan Hydrotest STA 0+000 s/d STA 0+070 ditargetkan 15 Juli 2026 , on progress pekerjaan Detail Juction dan Chamber Butterfly Valve
2. Hydrotest STA 0+070 s/d 1+000 sudah selesai tanggal 27 Juni 2026
3. Chamber Butterfly Valve STA 0+070 ditargetkan selesai 15 Juli 2026
4. Chamber Butterfy Valve STA 2+000 ditargetkan selesai 15 Juli 2026</t>
  </si>
  <si>
    <r>
      <t xml:space="preserve">Hydrotest: 8 Juni 2026 (Done 25 mei 2026)
</t>
    </r>
    <r>
      <rPr>
        <sz val="24"/>
        <color rgb="FFFF0000"/>
        <rFont val="Calibri"/>
        <family val="2"/>
        <scheme val="minor"/>
      </rPr>
      <t xml:space="preserve">Flushing: 22 Juni 2026 (terlambat) - Done 26 Juni 2026
</t>
    </r>
    <r>
      <rPr>
        <sz val="24"/>
        <color theme="1"/>
        <rFont val="Calibri"/>
        <family val="2"/>
        <scheme val="minor"/>
      </rPr>
      <t>Tescom: 24 Juni 2026 (Done 29 Juni 2026)
MC-100: 29 Juni 2026
DPPP: 3 Juli 2026</t>
    </r>
  </si>
  <si>
    <t>1. Flushing dan Interkoneksi sudah selesai dilaksanakan tanggal 26 Juni 2026
2. Test Com sudah selesai dilaksanakan tanggal 29 Juni 2026
3. Pelaksanaan MC-100 akan dilakukan tanggal 01 Juli 2026</t>
  </si>
  <si>
    <t>Hydrotest: 19 Juni 2026 (Done 22 Juni 2026)
Flushing: 23 Juni 2026 (Done 27 Juni 2026)
Tescom: 25 Juni 2026 (Done 29 Juni 2026)
MC-100: 30 Juni 2026
DPPP: 3 Juli 2026</t>
  </si>
  <si>
    <t>1. Interkoneksi sudah selesai dilaksanakan tanggal 25 Juni 2026
2. Flushing sudah selesai dilaksanakan tanggal 27 Juni 2026
3. Tes Com sudah selesai dilaksanakan tanggal 29 Juni 2026
4. Pelaksanaan MC-100 akan dilakukan tanggal 01 Juli 2026</t>
  </si>
  <si>
    <t>1. Sudah dilaksanakan Tes Com tanggal 26 Juni 2026
2. MC-100 akan dilaksanakan tanggal 30 Juni 2026</t>
  </si>
  <si>
    <t xml:space="preserve">Hydrotest: 5 Juni 2026 (Done 25 Mei 2026)
Interkoneksi: 11 Juni 2026 (Done 12 Juni 2026)
Flushing: 17 Juni 2026 (Done 22 Juni 2026)
Tescom: 22 Juni 2026 (Done 29 Juni 2026)
MC-100: 29 Juni 2026
DPPP: 3 Juli 2026
</t>
  </si>
  <si>
    <t>1. Tes Com sudah selesai dilaksanakan tanggal 29 Juni 2026
2. Pelaksanaan MC-100 akan dilakukan tanggal 01 Juli 2026</t>
  </si>
  <si>
    <t>Hydrotest: 2 Oktober 2026
Flushing: 7 Oktober 2026
Test Comm: 12 Oktober 2026
MC-100: 25 Oktober 2026
DPPP: 30 Oktober 2026</t>
  </si>
  <si>
    <t>Hydrotest: 2 Juni 2026 (Done 22 Mei 2026)
Interkoneksi: 24 Juni 2026 (Done 25 Juni 2026)
Flushing: 24 Juni 2026
Tescom: 26 Juni 2026
MC-100: 5 Juli 2026
DPPP: 10 Juli 2026</t>
  </si>
  <si>
    <t>Hydrotest: 17Juni 2026 (Done 15 Juni 2026)
Interkoneksi: 24 Juni 2026 (Done 25 Juni 2026)
Flushing: 24 Juni 2026
Tescom: 26 Juni 2026
MC-100: 5 Juli 2026
DPPP: 10 Juli 2026</t>
  </si>
  <si>
    <t xml:space="preserve">Hydrotest: 10 Juni 2026 (Done 10 Juni 2026)  
Flushing: 16 Juli 2026
Tescom: 21 Juli 2026
MC-100: 26 Juli 2026
DPPP: 31 Juli 2026
</t>
  </si>
  <si>
    <t>Hydrotest: 10 Juli 2026
Flushing: 16 Juli 2026
Tescom: 21 Juli 2026
MC-100: 26 Juli 2026
DPPP: 31 Juli 2026</t>
  </si>
  <si>
    <t>Flushing: 16 Juli 2026
Tescom: 21 Juli 2026
MC-100: 26 Juli 2026
DPPP: 31 Juli 2026</t>
  </si>
  <si>
    <t xml:space="preserve">Hydrotest DJ 5 sd DJ 8: 17 Juni 2026 (Done 18 Juni 2026)
Hydrotest DJ 18 sd DJ 20: 14 Juli 2026
Flushing: 24 Juli 2026
Tescom: 25 Juli 2026
MC-100: 2 Agustus 2026
DPPP: 7 Aug 2026
</t>
  </si>
  <si>
    <t xml:space="preserve">Hydrotest: 4 Juli 2026
Flushing: 9 Juli 2026
Tescom: 14 Juli 2026
MC-100: 19 Juli 2026
DPPP: 24 Juli 2026
</t>
  </si>
  <si>
    <r>
      <rPr>
        <sz val="24"/>
        <color rgb="FFFF0000"/>
        <rFont val="Calibri"/>
        <family val="2"/>
        <scheme val="minor"/>
      </rPr>
      <t>Hydrotest: 23 Juni 2026 (terlambat)</t>
    </r>
    <r>
      <rPr>
        <sz val="24"/>
        <color theme="1"/>
        <rFont val="Calibri"/>
        <family val="2"/>
        <scheme val="minor"/>
      </rPr>
      <t xml:space="preserve">
Interkoneksi: 26 Juni 2026 
Flushing:  28 Juni 2026
Tescom: 30 Juni 2026
MC-100: 12 Juli 2026
DPPP: 17 Juli 2026
</t>
    </r>
  </si>
  <si>
    <r>
      <rPr>
        <sz val="24"/>
        <rFont val="Calibri"/>
        <family val="2"/>
        <scheme val="minor"/>
      </rPr>
      <t xml:space="preserve">Hydrotest: 15 Juli 2026 </t>
    </r>
    <r>
      <rPr>
        <sz val="24"/>
        <color theme="1"/>
        <rFont val="Calibri"/>
        <family val="2"/>
        <scheme val="minor"/>
      </rPr>
      <t xml:space="preserve">
Flushing: 18 Juli 2026
Tescom: 22 Juli 2026
MC-100: 26 Juli 2026
DPPP: 31 Juli 2026
</t>
    </r>
  </si>
  <si>
    <r>
      <t xml:space="preserve">Interkoneksi: 19 Juni 2026 (Done 12 Juni 2026)
</t>
    </r>
    <r>
      <rPr>
        <sz val="24"/>
        <color rgb="FFFF0000"/>
        <rFont val="Calibri"/>
        <family val="2"/>
        <scheme val="minor"/>
      </rPr>
      <t>Flushing: 24 Juni 2026 (terlambat) - Done 29 Juni 2026</t>
    </r>
    <r>
      <rPr>
        <sz val="24"/>
        <color theme="1"/>
        <rFont val="Calibri"/>
        <family val="2"/>
        <scheme val="minor"/>
      </rPr>
      <t xml:space="preserve">
Tescom: 26 Juni 2026
MC-100: 8 Juli 2026
DPPP: 13 Juli 2026</t>
    </r>
  </si>
  <si>
    <t xml:space="preserve">Hydrotest: 15 Juni 2026 (Done)
Interkoneksi: 16 Juni 2026 (Done)
Flushing: 17 Juni 2026 (Done 26 Juni 2026)
Tescom: 22 Juni 2026 (Done 30 Juni 2026)
MC-100: 8 Juli 2026
DPPP: 13 Juli 2026
</t>
  </si>
  <si>
    <t>1. IKL belum terbit tetapi pekerjaan bisa dilakukan paralel. DJ 5 sd DJ 8 dalam tahap reinstatement.
2. Saat ini pembuatan pit DJ 19 selesai dikerjakan
3. DJ 18 dan DJ 24  interkoneksi selesai dilaksanakan tanggal 26 Juni 2026.
4. ABJ telah bersurat ke PAM JAYA dengan nomor surat ABJ26 0574, atas adanya potensi keterlambatan karena izin crossing tol yang baru diterbitkan di akhir Mei 2026.
5. Hydrostatic Test DJ 18 - DJ 20 belum dilkasnakan</t>
  </si>
  <si>
    <t>1. Pemasangan pipa dia 110 mendapat penolakan dari RT setempat, sehingga interkoneksi tidak dapat dilakukan. Saat ini sedang mengajukan opsi ke planning ABJ.
2. Tidak ditemukannya 1 titik interkoneksi di daerah KPAU.
3. Pekerjaan hydrotest menyisakan segmen yang ditolak oleh warga</t>
  </si>
  <si>
    <t>1. Tes Com sudah selesai dilaksanakan tanggal 24 Juni 2026
2. MC-100 akan dilaksanakan tanggal 01 Juli 2026</t>
  </si>
  <si>
    <t xml:space="preserve">Hydrotest: 19 juni 2026 (Done 22 Juni 2026)
Interkoneksi: 23 Juni 2026 (Done 22 Juni 2026)
Flushing: 25 Juni 2026 (Done 29 Juni 2026)
Tescom: 29 Juni 2026
MC-100: 4 Juli 2026
DPPP: 9 Juli 2026
</t>
  </si>
  <si>
    <t>Masih dalam proses pelaksanaan Tes Comm. Dilanjutkan Tes Comm tanggal 01 Juli 2026</t>
  </si>
  <si>
    <t>1. Pelaksanaan hydrotest direncanakan akan dilakukan tanggal 26 Juni 2026.
2. Rencana tanggal 30 Juni akan dilaksanakan flushing 
1. Hydrotest sudah selesai 2 segmen dari 14 segmen
2. Saat ini proses hydrotest sisa segmen dan proses persiapan flushing.</t>
  </si>
  <si>
    <t>1. Interkoneksi tersisa 1 titik. Rencana akan dilaksanakan tanggal 26 Juni 2026
1. Interkoneksi sudah selesai tanggal 26 Juni 2026
2. Saat ini persiapan flushing yang akan dilaksanakan tanggal 01 Juli 2026</t>
  </si>
  <si>
    <r>
      <rPr>
        <sz val="24"/>
        <color rgb="FFFF0000"/>
        <rFont val="Calibri"/>
        <family val="2"/>
        <scheme val="minor"/>
      </rPr>
      <t>Interkoneksi: 19 Juni 2026 (terlambat) - Done 26 Juni 2026</t>
    </r>
    <r>
      <rPr>
        <sz val="24"/>
        <color theme="1"/>
        <rFont val="Calibri"/>
        <family val="2"/>
        <scheme val="minor"/>
      </rPr>
      <t xml:space="preserve">
Flushing parsial: 22 Juni 2026
Tescom: 25 Juni 2026
MC-100: 8 Juli 2026
DPPP: 13 Juli 2026
</t>
    </r>
  </si>
  <si>
    <r>
      <t xml:space="preserve">Hydrotest: 17 Juni 2026 - Done 3 Juni 2026
</t>
    </r>
    <r>
      <rPr>
        <sz val="24"/>
        <color rgb="FFFF0000"/>
        <rFont val="Calibri"/>
        <family val="2"/>
        <scheme val="minor"/>
      </rPr>
      <t>Interkoneksi: 22 Juni 2026 (terlambat) - Done 26 Juni 2026</t>
    </r>
    <r>
      <rPr>
        <sz val="24"/>
        <color theme="1"/>
        <rFont val="Calibri"/>
        <family val="2"/>
        <scheme val="minor"/>
      </rPr>
      <t xml:space="preserve">
Flushing:  25 Juni 2026
Tescom: 29 Juni 2026
MC-100: 12 Juli 2026
DPPP: 17 Juli 2026
</t>
    </r>
  </si>
  <si>
    <t xml:space="preserve">
1. Hydrotest sudah selesai dilaksanakan.
2. Interkoneksi akan dilaksanakan tanggal 26 Juni 2026.
1. Proses persiapan flushing yang akan dilaksanakan tanggal 01 Juli 2026</t>
  </si>
  <si>
    <t>Verifikasi dokumen sudah selesai tanggal 26 Juni 2026
Saat ini proses DPPP</t>
  </si>
  <si>
    <t>1. Pemasangan Blok M sudah selesai dan untuk Blok N masih proses konstruksi
2. Persiapan izin kerja untuk pekerjaan di area Blok O</t>
  </si>
  <si>
    <t>1. Saat ini dalam proses pemasangan aksesoris, jembatan, dan chamber.
2. Proses persiapan hydrotest untuk pipa 500.</t>
  </si>
  <si>
    <t>Direncanakan untuk hydrotest akan dibagi menjadi 2 segmen karena masih ada perbaikan pipa yang bocor.</t>
  </si>
  <si>
    <t>1. Sudah koordinasi dengan RT RW untuk crossing saluran dan hasil pekerjaan sudah bisa dilakukan. 
2. Pekerjaan interkoneksi menunggu TMPSG-02 selesai dilaksanakan.
3. Saat ini pelaksanaan flushing paralel dilakukan. Saat ini proses masuk untuk segmen 3 dan 4 dari total 6 segmen.</t>
  </si>
  <si>
    <t>1. Koordinasi dengan RT RW sudah selesai dan pekerjaan sudah bisa dimulai.
2. Pekerjaan akan mulai dilakukan paralel setelah survey akan dilakukan dengan pemilik utilitas (PLN, APJATEL). Rencana akan dilaksanakan dalam minggu ini.</t>
  </si>
  <si>
    <t>Pelaksanaan flushing masih berlangsung. Sudah dilaksanakan 2 segmen dari 3 segmen.</t>
  </si>
  <si>
    <t>Survey dengan PAM JAYA untuk interkoneksi sudah dilakukan. Hasil surveynya diperlukan penambahan 42m. Saat ini tahap persiapan penambahan pipa 42m</t>
  </si>
  <si>
    <t>1. Pekerjaan syphon sudah selesai.
2. Pekerjaan Flushing tidak bisa dilakukan karena menunggu WTP Ciliwung selesai</t>
  </si>
  <si>
    <t>1. Pemasangan pipa dengan metode HDD dan Open Cut masih berlangsung.
2. Pekerjaan Flushing tidak bisa dilakukan karena menunggu WTP Ciliwung selesai</t>
  </si>
  <si>
    <t>1. Pemasangan pipa untuk metode open cut segmen 3 sudah selesai. Menyisakan pekerjaan interkoneksi ke IPA Ciliwung.
2. Hydrotest parsial selesai tanggal 23 Juni 2026. Tersisa hydrotest untuk pekerjaan pipa segmen 3.
3. Izin Kereta Api baru keluar W3 Juni 2026
4. Pekerjaan Flushing tidak bisa dilakukan karena menunggu WTP Ciliwung selesai</t>
  </si>
  <si>
    <t>1. Pemasangan pipa untuk penambahan pipa 450m sudah selesai dan dalam tahap pemasangan aksesoris
2. Saat ini dalam persiapan hydrotest
3. Pekerjaan Flushing tidak bisa dilakukan karena menunggu WTP Ciliwung selesai</t>
  </si>
  <si>
    <t>1. Pemasangan pipa sudah selesai. Saat ini dalam proses pemasangan aksesoris
2. Saat ini proses persiapan hydrotest
3. Pekerjaan Flushing tidak bisa dilakukan karena menunggu WTP Ciliwung selesai</t>
  </si>
  <si>
    <t>1. Hydrotest saat ini sedang berlangsung untuk segmen 4.
2. Pemasangan aksesoris sudah selesai.
3. Pekerjaan Flushing tidak bisa dilakukan karena menunggu WTP Ciliwung selesai</t>
  </si>
  <si>
    <t>1. Perizinan untuk melakukan interkoneksi supply dari PDAM TKR belum terbit
2. Perizinan (Surat Kuasa) permohonan daya PLN dari PAM JAYA belum terbit</t>
  </si>
  <si>
    <t>1. Saat ini proses pemasangan pipa di crossing sungai
2. Menunggu izin dari PAM JAYA untuk pelaksanaan interkoneksi dikarenakan Valve isolasi untuk melakukan interkoneksi tidak ditemukan. Bila tetap dilakukan interkoneksi, perlu mematikan jalur Transmisi yang dampaknya sampai ke wilayah Kalibata, sehingga untuk melakukan interkoneksi belum mendapat izin dari PAM Jaya</t>
  </si>
  <si>
    <t>1. Pemasangan pipa masih berlangsung 
2. Setelah pemasangan pipa belum bisa dilakukan flushing menunggu program P36 selesai karena air didapatkan dari program P36</t>
  </si>
  <si>
    <t>Tescom: 20 Mei 2026 (Done 20 Mei 2026)
Pengukuran MC-100: 1 Juni 2026 (Done 29 Mei 2026)
Verifikasi Dokumen MC-100: 26 Juni 2026 (Done 29 Juni 2026)
DPPP: 1 Juli 2026</t>
  </si>
  <si>
    <t>Verifikasi MC-100 sudah selesai</t>
  </si>
  <si>
    <t>Proses Verifikasi MC-100</t>
  </si>
  <si>
    <t xml:space="preserve">Hydrotest: 20 Mei 2026 (Done 26 Juni 2026)
Interkoneksi: 24 Juni 2026 (Done 26 Juni 2026)
Flushing: 24 Juni 2026 (Done 26 Juni 2026)
Tescom: 26 Juni 2026 (Done 29 Juni 2026)
MC-100: 30 Juni 2026
DPPP: 3 Juli 2026
</t>
  </si>
  <si>
    <t xml:space="preserve">Hydrotest: 17 Juni 2026 (Done 19 Juni 2026)
Interkoneksi: 20 Juni 2026  (Done 11 Maret 2026)
Flushing: 23 Juni 2026 (Done 25 Juni 2026)
Tescom: 26 Juni 2026  (Done 29 Juni 2026)
MC-100: 29 Juni 2026
DPPP: 3 Juli 2026
</t>
  </si>
  <si>
    <t>1. Perizinan crossing sungai masih dalam proses rekomtek dengan SDA.
2. Flushing sudah selesai dilaksanakan tanggal 26 Juni 2026
3. Tes Comm sudah selesai dilaksanakan tanggal 29 Juni 2026</t>
  </si>
  <si>
    <t xml:space="preserve">1. Dilaksanakan test pit lanjutan dan hasilnya ditemukan pipa eksisting tetapi tidak ada aliran dan akan di follow up kembali ke tim transmisi PAM.
1. Hasil dari tim transmisi PAM untuk interkoneksi dipindah pipa eksisting PVC 75 dan pelaksanaan interkoneksi sudah selesai dilaksanakan.
2. Tes Comm sudah selesai dilaksanakan tanggal 29 Juni 2026 </t>
  </si>
  <si>
    <t xml:space="preserve">Pekerjaan diusulkan untuk cancel karena di Hold oleh PAM </t>
  </si>
  <si>
    <t>1. Hydrotest selesai 4 segmen dari total 9 segmen.
2. Pemasangan pipa untuk metode manual jacking sudah proses jacking
3. Saat ini dalam koordinasi dengan Dishub untuk penutupan jalan 
4. Pekerjaan interkoneksi 2 titik dalam proses pelaksanaan.</t>
  </si>
  <si>
    <t xml:space="preserve">1. Mulai pekerjaan terlambat, IPPJU belum terbit pada saat pelaksanaan pekerjaan konstruksi yang seharusnya mulai pada tanggal 1 Sep 25. Upload JAKEVO tanggal IPPJU 18 Sep 25, IPPJU terbit tanggal 13 Feb 26. Terlambat 166 Hkal dari target.
2. Selain itu, ada perijinan crossing sungai yang belum terbit. Masih dalam proses rekomtek.
3. Penggantian metode kerja dari Jembatan ke Manual Jacking dan area kerja terbatas dan perlu menutup akses jalan warga
</t>
  </si>
  <si>
    <t xml:space="preserve">1. Mulai pekerjaan terlambat, IPPJU belum terbit pada saat pelaksanaan pekerjaan konstruksi yang seharusnya mulai pada tanggal 1 Sep 25, baru dimulai tanggal 5 Des 25 (test pit). Upload JAKEVO tanggal IPPJU 8 Aug 25, IPPJU terbit tanggal 26 Mar 26. Terlambat 207 Hkal dari target.
2. Izin lingkungan untuk private area baru mendapat izin pada awal bulan Juni 2026
</t>
  </si>
  <si>
    <t>1. Flushing sudah selesai dilaksanakan tanggal 29 Juni 2026
2. Saat ini persiapan Tes Comm yang akan dilaksanakan tanggal 02 Juli 2026</t>
  </si>
  <si>
    <t>1. Mulai pekerjaan terlambat, IPPJU belum terbit pada saat pelaksanaan pekerjaan konstruksi yang seharusnya mulai pada tanggal 1 Sep 25. Upload JAKEVO tanggal IPPJU 9 Sep 25, IPPJU terbit tanggal 11 Mei 26. Terlambat 253 Hkal dari target.
2. Izin lingkungan dari warga terlambat karena sempat ada penolakan pada saat sosialisasi pertama</t>
  </si>
  <si>
    <t xml:space="preserve">1. Mulai pekerjaan terlambat, IPPJU belum terbit pada saat pelaksanaan pekerjaan konstruksi yang seharusnya mulai pada tanggal 1 Sep 25, baru dimulai tanggal 5 Jan 26 (test pit). Upload JAKEVO tanggal IPPJU 18 Sep 25, IPPJU terbit tanggal 8 Mei 26. Terlambat 250 Hkal dari target.
2. Izin lingkungan dari warga terlambat karena sempat ada penolakan pada saat sosialisasi pertama
</t>
  </si>
  <si>
    <t>1. Mulai pekerjaan terlambat, IPPJU belum terbit pada saat pelaksanaan pekerjaan konstruksi yang seharusnya mulai pada tanggal 1 Sep 25. Upload JAKEVO tanggal IPPJU 18 Sep 25, IPPJU terbit tanggal 7 Apr 26. Terlambat 219 Hkal dari target.
2. Tidak ditemukannya pipa eksisting untuk kebutuhan interkoneksi, sehingga diperlukan penyesuaian desain interkoneksi penambahan jalur pipa sepanjang 369 meter.</t>
  </si>
  <si>
    <t>1. Mulai pekerjaan terlambat, IPPJU belum terbit pada saat pelaksanaan pekerjaan konstruksi yang seharusnya mulai pada tanggal 1 Sep 25. Upload JAKEVO tanggal IPPJU 9 Sep 25, IPPJU terbit tanggal 11 Mei 26. Terlambat 253 Hkal dari target.
2. Selain itu, ada perizinan crossing sungai belum terbit sampai konstruksi dimulai.
3. Penambahan jalur pipa sepanjang 162m dikarenakan pipa eksisting tidak ada.</t>
  </si>
  <si>
    <t>1. Flushing sudah selesai dilaksanakan
2. Saat ini persiapan Tes Comm</t>
  </si>
  <si>
    <t>1. Interkoneksi sudah selesai dilaksanakan tanggal 25 Juni 2026
2. Flushing tidak bisa dilakukan karena debit air kecil.
3. Saat ini dalam proses persiapan pelaksanaan Tes Com</t>
  </si>
  <si>
    <t xml:space="preserve">
1. Pemasangan pipa sudah selesai
2. Justek untuk syphon masih dalam proses sirkuler tanda tangan
3. Saat ini proses persiapan interkoneksi dan singgem yang akan dilaksanakan tanggal 24 Juni 2026.
1. Justek untuk syphon sudah disubmit ke PAM dan KPI
2. Flushing tidak bisa dilakukan karena debit air kecil.
3.  Saat ini dalam proses persiapan pelaksanaan Tes Com</t>
  </si>
  <si>
    <t xml:space="preserve">1. Upload JAKEVO tanggal 28 Mar 2023. IPPJU terbit tanggal 8 Okt 2024
2. Izin crossing Tol JORR S baru diterima pada 25 Mei 2026, selanjutnya Surat Izin Bekerja dari Hutama Karya baru diterima pada 5 Juni 2026
3. Perpanjangan Izin Jalan Tol Jagorawi baru diterima pada 26 Mei 2026, sedangkan Izin Kerja Lapangan baru diterima pada 22 Juni 2026 </t>
  </si>
  <si>
    <t>- Terdapat rencana perubahan metode kerja interkoneksi, dari interkoneksi manual ke hotapping
- Telah dilakukan pengujian kondisi tanah dan air tanah pada 8 Juni 2026 untuk mengetahui Tingkat korosi. Hasi pengujian lab masih diproses dan selanjutnya akan bersurat terkait dengan hasil lab tersebut.
- Sudah dilakukan pemaparan ke dishub terkait press release, estimasi bisa mulai pekerjaan di tanggal 26 Juni 2026
- Hasil uji laboratorium telah dinyatakan memenuhi standar, dan produk ini dilengkapi garansi hingga 50 tahun.
- Hasi pengujian lab sudah keluar menunggu review KPI
- Untuk pekerjaan pit disekitar IBP Sunter, ABJ perlu berkoordinasi dengan IBP Sunter</t>
  </si>
  <si>
    <t>PCM</t>
  </si>
  <si>
    <t>- Persiapan mobilisasi peralatan kerja
- Jaminan pelaksanaan KKDM proses pembayaran
- Proses pembayaran penebangan pohon dengan distamhut
- MC-0 Belum bisa dilakukan karena menunggu hasil review DED dari  PAM JAYA
- Izin Sewa Lahan belum terbit, Kementerian PU meminta PAM Jaya untuk membuat Surat Permohonan Sewa Lahan Barang Milik Negara</t>
  </si>
  <si>
    <t>- Perubahan metode dari jembatan ke trust boring
- KPI dan PAM Jaya menolak jadwal kick off meeting pada Jumat, 5 Juni 2026 dikarenakan dokumen DPPK perlu direview terlebih dahulu oleh KPI
-Dijadwalkan Kick off meeting pada Rabu, 1 Juli 2026</t>
  </si>
  <si>
    <t xml:space="preserve">- Perubahan metode dari jembatan ke trust boring
- KPI dan PAM Jaya menolak jadwal kick off meeting pada Jumat, 5 Juni 2026 dikarenakan dokumen DPPK perlu direview terlebih dahulu oleh KPI
- Terdapat banyak utilitas, sudah dilakukan survey bersama antara ABJ, PAM, KPI, PGN, Telkom, PLN dll.
- Direkomendasikan dari PLN dengan kedalaman 12 m dari atas jalan karena pipa kabel 7,8 m dengan toleransi 1,5 x diameter
-Dijadwalkan Kick off meeting pada Rabu, 1 Juli 2026
</t>
  </si>
  <si>
    <t>- Perubahan metode dari jembatan ke HDD
- KPI dan PAM Jaya menolak jadwal kick off meeting pada Jumat, 5 Juni 2026 dikarenakan dokumen DPPK perlu direview terlebih dahulu oleh KPI
- Dijadwalkan Kick off meeting pada Rabu, 1 Juli 2026</t>
  </si>
  <si>
    <t>- Sub-kontraktor mengajukan kenaikan harga satuan
Sudah dilakukan Test Pit
- Terdapat perubahan metode dari manual boring menjadi open cut
- Pada lokasi PTC adanya rencana pemindahan kerjaan pemasangan pipa trase rigid pindah ke trase paving dan sudah diijinkan oleh pihak pengelola PTC
- ABJ perlu melampirkan Justek dan Jusfin terkait perubahan metode tersebut</t>
  </si>
  <si>
    <t>IPPJU : Rekomtek Terbit
Crossing Sungai : Proses SSRD 
Perubahan Kontraktor 
Test Pit sudah 5 titik 
Pelaksanaan konstruksi akan mulai pada tanggal 1 Juli 2026</t>
  </si>
  <si>
    <t>IPPJU : Rekomtek Terbit
Crossing Sungai : Proses Gambar &amp; Proses SSRD 
Proses Persiapan Kontruksi</t>
  </si>
  <si>
    <t>- Warga meminta untuk dilakukan sosialisasi kembali dengan PAM Jaya
- IPPJU : Izin Terbit 
- Crossing Sungai : Proses SSRD
- Terdapat banyak jalur penolakan dan pipa sudah terpasang pipa eksisting dan PUPR
- ABJ akan memastikan skematik jaringan PUPR
Telah dilaksanakan sosalsasi persapan konstruksi</t>
  </si>
  <si>
    <t>IPPJU : Rekomtek Terbit
Crossing Sungai : Proses SSRD &amp; Proses Di Sistem SDA
- Persiapan proses Konstruksi</t>
  </si>
  <si>
    <t>- IPPJU : Proses Rekomtek 
- Terdapat banyak jalur penolakan dan pipa sudah terpasang pipa eksisting dan PUPR
- Persiapan proses Konstruksi</t>
  </si>
  <si>
    <t>- IPPJU : Proses Rekomtek 
- ABJ akan memastikan skematik jaringan PUPR
- Persiapan proses Konstruksi</t>
  </si>
  <si>
    <t xml:space="preserve">- Persiapan Proses Konstruksi​
- Pekerjaan dapat dilakukan dan dikerjakan dengan metode manual boring​
- Inspeksi gudang dilaksanakan 23 Juni​
- Permintaan pihak developer percepatan pemasangan air bersih untuk cluster Conivera​
- IIPJU: Izin Terbit
- Persiapan Proses Konstruksi
- Pekerjaan dapat dilakukan di berm dan dikerjakan dengan metode manual boring
- Inspeksi gudang dilaksanakan 23 Juni
- Permintaan pihak developer percepatan pemasangan air bersih untuk cluster Conivera
- ABJ akan mengimkan schedule pekerjaan ke developer
</t>
  </si>
  <si>
    <t>- Subkon mengajukan kenaikan harga satuan
- Akan dilakukan test pit ulang dikarenakan pit terendam air dan mencari pengganti pompa yang rusak
- IPPJU : Rekomtek Terbit
- Sudah dilakukan pekerjaan tespit 
- Telah dilakukan survei bersama pada tanggal 26 Juni 2026
Berdasarkan hasil test pit pada Jalan Beting Sawah dan Jalan Logon 1, kondisi tanah merupakan tanah urugan berbatu. Oleh karena itu, ABJ mengusulkan perubahan metode kerja dari manual boring menjadi open cut, dengan rencana panjang perubahan metode sebagai berikut:
- Jalan Beting Sawah: 35 m (pipa HDPE Ø63 mm) 
- Jalan Logon 1: 167 m (pipa HDPE Ø63 mm)</t>
  </si>
  <si>
    <t xml:space="preserve">- Telah dilaksanakan Test Pit
- Direncanakan mulai proses konstruksi 1 Juli 2026
- IPPJU : Rekomtek Terbit
- Pelaksanaan kontruksi dimulai pada Tanggal 1 Juli 2026 i 
- Akan dilakukan survei bersama pada tanggal :
Rabu, 1 Juli 2026 untuk Utara dan
Kamis, 2 Juli 2026 untuk Timur. Tim utilitas PLN, kabel optik </t>
  </si>
  <si>
    <t>- Terdapat banyak pipa PUPR terpasang​
- ABJ akan memastikan skematk jangan PUPR
- IPPJU : Rekomtek Terbit
- Crossing Sungai : Proses SSRD
-Mulai konstruksi tanggal 1 Juli 2026</t>
  </si>
  <si>
    <t>​'- Adanya perubahan metode dari manual boring ke HDD sepanjang 869 m dikarenakan kondisi tanah merah berbatu​
- IPPJU : Rekomtek Terbit
- Crossing Sungai : Proses Gambar &amp; Survei UP4
- Mulai konstruksi tanggal 1 Juli 2026
- Adanya perubahan metode dari manual boring ke HDD sepanjang 869 m dikarenakan kondisi tanah merah berbatu</t>
  </si>
  <si>
    <t>Pekerjaan Tespit akan di laksanakan pada tanggal 1 Juli 2026</t>
  </si>
  <si>
    <t>- Pergantian vendor dari KJA ke CRCC
Hasil Joint Survey 22 Juni 2026:​
- Pipa dia. 400 ABJ sepanjang +- 2 km overlap dengan pipa proyek NRW PMO PAM Jaya di area Asem Baris Raya. Namunpipa tersebut hanya sepanjang +- 900 m sampai dengan Jl. H Barat – Timur​
- Setelah dilakukan analisia hidrolis, pipa dia 400 mm tidak perlu dipasang karena terakomodasi oleh proyek NRW dan secara hidrolis tidak perlu diteruskan sisanya sepanjang +- 1,1 km\ABJ agar segera menyusun justek dan jusfin berkuti promod (jika ada) termasuk perubahan di layout 47​
- Hasil analisis hidrolis S012 khususnya daerah Asam Baris
- Pekerjaan Test Pit akan dilakukan pada tanggal 3 Juli 2026</t>
  </si>
  <si>
    <t>- Selesai konstruksi
- Dijadwalkan rilis HT, Interkoneksi, Flushing, Survey titik interkoneksi pada Kamis, 2 Juli 2026</t>
  </si>
  <si>
    <t>-Perlu koordinasi permit ABJ dan Bundling PAM terkait perizinan jalur pipa pada lahan PJKA
-Tidak ditemukan pipa eksisting dia. 160 mm, perlu dilakukan test pit terlebih dahulu.</t>
  </si>
  <si>
    <t>ABJ telah bersurat perihal penyampaian informasi cancel paket proyek  (ABJ/DIR/EKS/06.26/0612)</t>
  </si>
  <si>
    <t>- Proses Koordinasi Lingkungan
- IPPJU : Proses Rekomtek
- Proses persiapan konstruksi</t>
  </si>
  <si>
    <t>IPPJU : Proses Rekomtek 
Crossing Sungai : Proses SSRD
- Terdapat rencana pemasangan pipa crossing pada area jalan tol
- Masih menunggu perizinan rekomtek
- Pihak kecamatan meminta agar keluar surat rekomtek terlebih dahulu agar dapat dilaksanakan pekerjaan didalam perumahan rawa bambu
- Pihak ABJ akan melakukan koordinasi dengan instansi yang berwenang
- Pihak ABJ akan memfollow up terkait perizinan rekomtek
Setelah surat Rekomtek terbit, ABJ akan berkoordinasi dengan pihak kecamatan</t>
  </si>
  <si>
    <t>IPPJU : Izin Terbit 
- MC-0</t>
  </si>
  <si>
    <t>IPPJU : Proses Rekomtek 
- Proses konstruksi 
- Perubahan metode dari manual boring menjadi open cut karena kondisi tanah (urugan)
- ABJ akan melampirkan justek dan jusfin dengan perubahan metode</t>
  </si>
  <si>
    <t>Telah dilaksanakan pengukuran MC-100 pada Jumat, 26 Juni 2026
Dengan catatan Reinstatment (tidak rata</t>
  </si>
  <si>
    <t>IPPJU : Proses Rekomtek 
Proses Persiapan Konstruksi</t>
  </si>
  <si>
    <t>- Telah dilakukan koordinasi dengan PLN untuk agenda survey bersama dan marking jalur
- Izin lingkungan dari  RT dan RW belum keluar
- Survey STLAK sudah dilakukan, menunggu STLAK keluar (proses diDBM)
-Telah dilakukan koordinasi dengan PLN untuk agenda survey bersama dan marking jalur
-Persiapan konstruksi</t>
  </si>
  <si>
    <t>- Persipan kontruksi</t>
  </si>
  <si>
    <t>Proses konstruksi pemasangan pipa dan aksesoris dia. 63
Test pit dimulai Kamis, 11 Juni 2026
Pembuatan pit galian dan proteksi sekitar area pit (rambu dan water barrier)
Tanah sudah masuk ke dalam karung 
Persiapan boring manual untuk pemasangan pipa 63 mm</t>
  </si>
  <si>
    <t>- Pelaksanaan Kontruksi</t>
  </si>
  <si>
    <t>Menunggu perizinan lingkungan/RW 08</t>
  </si>
  <si>
    <t>Tespit Petukangan Selatan Senin, 22 Juni 2026</t>
  </si>
  <si>
    <t>Proses konstruksi pemasangan pipa dan aksesoris dia. 63
Kegiatan saat ini : manual boring, rowring pipa</t>
  </si>
  <si>
    <t>- Proses konstruksi pemasangan pipa dan aksesoris dia. 63
- Wilayah RW 5 dari pihak RT belum mengizinkan pekerjaan dimulai karena masih menunggu surat dari kelurahan.
Kegiatan saat ini melanjutkan manual boring pit</t>
  </si>
  <si>
    <t>Proses konstruksi pemasangan pipa dan aksesoris dia. 63
Saat ini : boring pipa dan pemasangan acc</t>
  </si>
  <si>
    <t>-Persiapan Shypon</t>
  </si>
  <si>
    <t>IPPJU : Rekomtek Terbit
Persiapan konstruksi</t>
  </si>
  <si>
    <t>Proses konstruksi
Pemasangan pipa</t>
  </si>
  <si>
    <t>-Target running pekerjaan dimulai pada Senin, 22 Juni 2026
-Minggu pertama digunakan untuk konsolidasi dan persiapan mobilisasi ke lokasi.
-Minggu kedua pekerjaan mulai pelaksanaan di lapangan.</t>
  </si>
  <si>
    <t>IPPJU : Izin Terbit 
Koordinasi lingkungan &amp; Persiapan Konstruksi
Target pelaksanaan pekerjaan dapat dimulai pada Senin, 22 Juni 2026.</t>
  </si>
  <si>
    <t>IPPJU : Rekomtek Terbit
-Target running pekerjaan dimulai pada Senin, 22 Juni 2026_x000B_-Minggu pertama digunakan untuk konsolidasi dan persiapan mobilisasi ke lokasi._x000B_-Minggu kedua pekerjaan mulai pelaksanaan di lapangan.</t>
  </si>
  <si>
    <t>IPPJU : Proses Rekomtek 
Menungu penerbitan izin</t>
  </si>
  <si>
    <t>Menyisakan pemasangan pipa 110mm dengan panjang sekitar 6 meter dan mencari pipa esisting 200mm pvc._x000B_⁠Melakukan penekanan air pada pipa untuk mengetes kebocoran pipa, dan apabila tidak ada kebocoran pipa siap dipasang loger untuk ht_x000B_Melakukan interkoneksi dari pipa 110mm ke pipa esisting 200mm pvc</t>
  </si>
  <si>
    <t>- Proses Konstruksi pemasangan pipa dia 63 mm, 90 mm, 110 mm
Akan dilaksanakan Ht tanggal 1 Juli 2026</t>
  </si>
  <si>
    <t>Pelaksanaan konstruksi</t>
  </si>
  <si>
    <t>Perizinan warga masih dalam proses dan terus diupayakan agar tidak terjadi penolakan dari warga setempat.</t>
  </si>
  <si>
    <t xml:space="preserve">Hasil koordinasi dengan developer :_x000B_Developer mengizinkan pekerjaan pemasangan pipa._x000B_Sebelum pekerjaan dimulai, diminta menyerahkan drawing dan jadwal pemasangan pipa._x000B_Developer meminta diskusi teknis lanjutan dengan pelaksana pekerjaan. </t>
  </si>
  <si>
    <t>- Jalur pipa bawah tol tidak dapat dilakukan boring manual karena trase precast terlalu keras.
- Beberapa jalur tidak dapat boring manual karena pada kedalaman ±1 m masih terdapat tanah urugan, sehingga dilakukan metode non-boring.
- Ditemukan buis beton saluran warga pada kedalaman ±1 m saat test pit</t>
  </si>
  <si>
    <t>- proses izin tanah milik KAI
 - Adanya perubahan metode dari boring ke non boring
Jalur pipa HDPE ND 90 mm sepanjang ±500 m memasuki lahan PT KAI, sehingga berpotensi mengalami perubahan trase.</t>
  </si>
  <si>
    <t>- Proses pengurusan izin lingkungan RT &amp; RW
Persiapan konstruksi</t>
  </si>
  <si>
    <t>- Penggalian open cut, pemasangan pipa
- IPPJU : Rekomtek Terbit
-Trase dipenuhi urugan sampah sehingga menghambat penggalian pit untuk pemasangan pipa.</t>
  </si>
  <si>
    <t>IPPJU : Rekomtek Terbit
W3 Juni proses pendatangan tukang untuk proses pengerjaan dengan metode opencut.</t>
  </si>
  <si>
    <t>IPPJU : Rekomtek Terbit
Menunggu penerbitan izin</t>
  </si>
  <si>
    <t>IPPJU : Rekomtek Terbit
Telah dilakukan MC-0 Jumat, 19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</si>
</sst>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_-;\-* #,##0_-;_-* &quot;-&quot;??_-;_-@_-"/>
    <numFmt numFmtId="167" formatCode="_(* #,##0_);_(* \(#,##0\);_(* &quot;-&quot;??_);_(@_)"/>
    <numFmt numFmtId="168" formatCode="[$-409]d\-mmm\-yy;@"/>
    <numFmt numFmtId="169" formatCode="[$-13809]d\ mmm\ yyyy;@"/>
  </numFmts>
  <fonts count="18" x14ac:knownFonts="1">
    <font>
      <sz val="11"/>
      <color theme="1"/>
      <name val="Calibri"/>
      <family val="2"/>
      <scheme val="minor"/>
    </font>
    <font>
      <sz val="11"/>
      <color theme="1"/>
      <name val="Calibri"/>
      <family val="2"/>
      <scheme val="minor"/>
    </font>
    <font>
      <sz val="14"/>
      <color theme="1"/>
      <name val="Calibri"/>
      <family val="2"/>
      <scheme val="minor"/>
    </font>
    <font>
      <b/>
      <sz val="14"/>
      <color rgb="FFFFFFFF"/>
      <name val="Calibri"/>
      <family val="2"/>
      <scheme val="minor"/>
    </font>
    <font>
      <b/>
      <sz val="28"/>
      <color rgb="FFFFFFFF"/>
      <name val="Calibri"/>
      <family val="2"/>
      <scheme val="minor"/>
    </font>
    <font>
      <sz val="28"/>
      <color theme="1"/>
      <name val="Calibri"/>
      <family val="2"/>
      <scheme val="minor"/>
    </font>
    <font>
      <b/>
      <sz val="28"/>
      <color theme="1"/>
      <name val="Calibri"/>
      <family val="2"/>
      <scheme val="minor"/>
    </font>
    <font>
      <sz val="24"/>
      <color theme="1"/>
      <name val="Calibri"/>
      <family val="2"/>
      <scheme val="minor"/>
    </font>
    <font>
      <b/>
      <sz val="24"/>
      <color rgb="FFFFFFFF"/>
      <name val="Calibri"/>
      <family val="2"/>
      <scheme val="minor"/>
    </font>
    <font>
      <sz val="24"/>
      <color rgb="FFFF0000"/>
      <name val="Calibri"/>
      <family val="2"/>
      <scheme val="minor"/>
    </font>
    <font>
      <sz val="24"/>
      <color rgb="FF000000"/>
      <name val="Calibri"/>
      <family val="2"/>
      <scheme val="minor"/>
    </font>
    <font>
      <b/>
      <sz val="24"/>
      <color theme="1"/>
      <name val="Calibri"/>
      <family val="2"/>
      <scheme val="minor"/>
    </font>
    <font>
      <sz val="24"/>
      <name val="Calibri"/>
      <family val="2"/>
      <scheme val="minor"/>
    </font>
    <font>
      <sz val="24"/>
      <color rgb="FF242424"/>
      <name val="Calibri"/>
      <family val="2"/>
      <scheme val="minor"/>
    </font>
    <font>
      <b/>
      <sz val="24"/>
      <color theme="0"/>
      <name val="Calibri"/>
      <family val="2"/>
      <scheme val="minor"/>
    </font>
    <font>
      <sz val="24"/>
      <color rgb="FF000000"/>
      <name val="Calibri"/>
      <family val="2"/>
    </font>
    <font>
      <sz val="24"/>
      <color theme="0"/>
      <name val="Calibri"/>
      <family val="2"/>
      <scheme val="minor"/>
    </font>
    <font>
      <sz val="24"/>
      <color theme="0"/>
      <name val="Calibri"/>
      <family val="2"/>
    </font>
  </fonts>
  <fills count="10">
    <fill>
      <patternFill patternType="none"/>
    </fill>
    <fill>
      <patternFill patternType="gray125"/>
    </fill>
    <fill>
      <patternFill patternType="solid">
        <fgColor rgb="FF0070C0"/>
        <bgColor rgb="FF000000"/>
      </patternFill>
    </fill>
    <fill>
      <patternFill patternType="solid">
        <fgColor rgb="FFFFFF00"/>
        <bgColor indexed="64"/>
      </patternFill>
    </fill>
    <fill>
      <patternFill patternType="solid">
        <fgColor theme="9"/>
        <bgColor indexed="64"/>
      </patternFill>
    </fill>
    <fill>
      <patternFill patternType="solid">
        <fgColor rgb="FF0070C0"/>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rgb="FF000000"/>
      </left>
      <right style="thin">
        <color rgb="FF000000"/>
      </right>
      <top/>
      <bottom/>
      <diagonal/>
    </border>
    <border>
      <left style="thin">
        <color indexed="64"/>
      </left>
      <right style="thin">
        <color indexed="64"/>
      </right>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62">
    <xf numFmtId="0" fontId="0" fillId="0" borderId="0" xfId="0"/>
    <xf numFmtId="0" fontId="0" fillId="0" borderId="0" xfId="0" applyAlignment="1">
      <alignment horizontal="center"/>
    </xf>
    <xf numFmtId="0" fontId="0" fillId="0" borderId="0" xfId="0" applyAlignment="1">
      <alignment vertical="top"/>
    </xf>
    <xf numFmtId="15" fontId="0" fillId="0" borderId="0" xfId="0" applyNumberFormat="1" applyAlignment="1">
      <alignment horizontal="left" vertical="center" wrapText="1"/>
    </xf>
    <xf numFmtId="0" fontId="3" fillId="2" borderId="7" xfId="0" applyFont="1" applyFill="1" applyBorder="1" applyAlignment="1">
      <alignment horizontal="center" vertical="center" wrapText="1"/>
    </xf>
    <xf numFmtId="169" fontId="2" fillId="7" borderId="7" xfId="0" applyNumberFormat="1" applyFont="1" applyFill="1" applyBorder="1" applyAlignment="1">
      <alignment horizontal="center" vertical="center"/>
    </xf>
    <xf numFmtId="169" fontId="2" fillId="0" borderId="7" xfId="0" applyNumberFormat="1" applyFont="1" applyBorder="1" applyAlignment="1">
      <alignment horizontal="center" vertical="center"/>
    </xf>
    <xf numFmtId="0" fontId="0" fillId="0" borderId="7" xfId="0" applyBorder="1"/>
    <xf numFmtId="0" fontId="2" fillId="0" borderId="0" xfId="0" applyFont="1"/>
    <xf numFmtId="0" fontId="2" fillId="0" borderId="0" xfId="0" applyFont="1" applyAlignment="1">
      <alignment vertical="top"/>
    </xf>
    <xf numFmtId="0" fontId="0" fillId="0" borderId="0" xfId="0" applyAlignment="1">
      <alignment horizontal="lef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wrapText="1"/>
    </xf>
    <xf numFmtId="165" fontId="5" fillId="0" borderId="1" xfId="1" applyNumberFormat="1" applyFont="1" applyBorder="1" applyAlignment="1">
      <alignment horizontal="center" vertical="center"/>
    </xf>
    <xf numFmtId="0" fontId="5" fillId="0" borderId="1" xfId="0" applyFont="1" applyBorder="1" applyAlignment="1">
      <alignment vertical="center"/>
    </xf>
    <xf numFmtId="165" fontId="5" fillId="0" borderId="1" xfId="1" applyNumberFormat="1" applyFont="1" applyBorder="1" applyAlignment="1">
      <alignment vertical="center"/>
    </xf>
    <xf numFmtId="165" fontId="5" fillId="0" borderId="1" xfId="0" applyNumberFormat="1" applyFont="1" applyBorder="1" applyAlignment="1">
      <alignment horizontal="center" vertical="center"/>
    </xf>
    <xf numFmtId="9" fontId="5" fillId="0" borderId="1" xfId="2" applyFont="1" applyBorder="1" applyAlignment="1">
      <alignment horizontal="center" vertical="center"/>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167" fontId="6" fillId="0" borderId="1" xfId="0" applyNumberFormat="1" applyFont="1" applyBorder="1" applyAlignment="1">
      <alignment vertical="center"/>
    </xf>
    <xf numFmtId="9" fontId="5" fillId="0" borderId="1" xfId="2" applyFont="1" applyBorder="1" applyAlignment="1">
      <alignment vertical="center"/>
    </xf>
    <xf numFmtId="0" fontId="5" fillId="0" borderId="1" xfId="0" applyFont="1" applyBorder="1"/>
    <xf numFmtId="0" fontId="7" fillId="0" borderId="0" xfId="0" applyFont="1"/>
    <xf numFmtId="0" fontId="7" fillId="0" borderId="0" xfId="0" applyFont="1" applyAlignment="1">
      <alignment horizontal="center"/>
    </xf>
    <xf numFmtId="0" fontId="8" fillId="2" borderId="1" xfId="0" applyFont="1" applyFill="1" applyBorder="1" applyAlignment="1">
      <alignment horizontal="center" vertical="center"/>
    </xf>
    <xf numFmtId="0" fontId="7" fillId="0" borderId="0" xfId="0" applyFont="1" applyAlignment="1">
      <alignment wrapText="1"/>
    </xf>
    <xf numFmtId="0" fontId="8" fillId="2" borderId="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7" fillId="0" borderId="0" xfId="0" applyFont="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7" fillId="0" borderId="1" xfId="0" applyFont="1" applyBorder="1" applyAlignment="1">
      <alignment vertical="center"/>
    </xf>
    <xf numFmtId="165" fontId="7" fillId="0" borderId="1" xfId="1" applyNumberFormat="1" applyFont="1" applyBorder="1" applyAlignment="1">
      <alignment vertical="center"/>
    </xf>
    <xf numFmtId="0" fontId="9" fillId="0" borderId="10" xfId="0" applyFont="1" applyBorder="1" applyAlignment="1">
      <alignment vertical="center"/>
    </xf>
    <xf numFmtId="165" fontId="9" fillId="0" borderId="10" xfId="1" applyNumberFormat="1" applyFont="1" applyBorder="1" applyAlignment="1">
      <alignment vertical="center"/>
    </xf>
    <xf numFmtId="0" fontId="7" fillId="0" borderId="10" xfId="0" applyFont="1" applyBorder="1" applyAlignment="1">
      <alignment vertical="center"/>
    </xf>
    <xf numFmtId="165" fontId="7" fillId="0" borderId="10" xfId="1" applyNumberFormat="1" applyFont="1" applyBorder="1" applyAlignment="1">
      <alignment vertical="center"/>
    </xf>
    <xf numFmtId="0" fontId="9" fillId="0" borderId="1" xfId="0" applyFont="1" applyBorder="1" applyAlignment="1">
      <alignment vertical="center"/>
    </xf>
    <xf numFmtId="165" fontId="9" fillId="0" borderId="1" xfId="1" applyNumberFormat="1" applyFont="1" applyBorder="1" applyAlignment="1">
      <alignment vertical="center"/>
    </xf>
    <xf numFmtId="165" fontId="7" fillId="0" borderId="1" xfId="0" applyNumberFormat="1" applyFont="1" applyBorder="1" applyAlignment="1">
      <alignment vertical="center"/>
    </xf>
    <xf numFmtId="9" fontId="7" fillId="0" borderId="1" xfId="2" applyFont="1" applyBorder="1" applyAlignment="1">
      <alignment vertical="center"/>
    </xf>
    <xf numFmtId="0" fontId="7" fillId="0" borderId="1" xfId="0" applyFont="1" applyBorder="1" applyAlignment="1">
      <alignment horizontal="center" vertical="center" wrapText="1"/>
    </xf>
    <xf numFmtId="9" fontId="9" fillId="0" borderId="10" xfId="2" applyFont="1" applyBorder="1" applyAlignment="1">
      <alignment vertical="center"/>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9" fontId="7" fillId="0" borderId="10" xfId="2" applyFont="1" applyBorder="1" applyAlignment="1">
      <alignment vertical="center"/>
    </xf>
    <xf numFmtId="0" fontId="7" fillId="0" borderId="10" xfId="0" applyFont="1" applyBorder="1" applyAlignment="1">
      <alignment horizontal="center" vertical="center" wrapText="1"/>
    </xf>
    <xf numFmtId="0" fontId="9" fillId="0" borderId="6" xfId="0" applyFont="1" applyBorder="1" applyAlignment="1">
      <alignment vertical="center" wrapText="1"/>
    </xf>
    <xf numFmtId="9" fontId="9" fillId="0" borderId="1" xfId="2" applyFont="1" applyBorder="1" applyAlignment="1">
      <alignment vertical="center"/>
    </xf>
    <xf numFmtId="0" fontId="9" fillId="0" borderId="1" xfId="0" applyFont="1" applyBorder="1" applyAlignment="1">
      <alignment horizontal="center" vertical="center" wrapText="1"/>
    </xf>
    <xf numFmtId="0" fontId="9" fillId="0" borderId="4" xfId="0" applyFont="1" applyBorder="1" applyAlignment="1">
      <alignment vertical="center" wrapText="1"/>
    </xf>
    <xf numFmtId="0" fontId="7" fillId="0" borderId="11" xfId="0" applyFont="1" applyBorder="1" applyAlignment="1">
      <alignment vertical="center" wrapText="1"/>
    </xf>
    <xf numFmtId="168" fontId="7" fillId="0" borderId="11" xfId="0" applyNumberFormat="1" applyFont="1" applyBorder="1" applyAlignment="1">
      <alignment vertical="top" wrapText="1"/>
    </xf>
    <xf numFmtId="168" fontId="7" fillId="0" borderId="10" xfId="0" applyNumberFormat="1" applyFont="1" applyBorder="1" applyAlignment="1">
      <alignment vertical="top" wrapText="1"/>
    </xf>
    <xf numFmtId="0" fontId="7" fillId="0" borderId="10" xfId="0" applyFont="1" applyBorder="1" applyAlignment="1">
      <alignment vertical="top" wrapText="1"/>
    </xf>
    <xf numFmtId="0" fontId="9" fillId="0" borderId="16" xfId="0" applyFont="1" applyBorder="1" applyAlignment="1">
      <alignment vertical="center" wrapText="1"/>
    </xf>
    <xf numFmtId="0" fontId="9" fillId="0" borderId="11" xfId="0" applyFont="1" applyBorder="1" applyAlignment="1">
      <alignment vertical="center" wrapText="1"/>
    </xf>
    <xf numFmtId="168" fontId="7" fillId="0" borderId="1" xfId="0" applyNumberFormat="1" applyFont="1" applyBorder="1" applyAlignment="1">
      <alignment vertical="center" wrapText="1"/>
    </xf>
    <xf numFmtId="168" fontId="7" fillId="0" borderId="7" xfId="0" applyNumberFormat="1" applyFont="1" applyBorder="1" applyAlignment="1">
      <alignment vertical="top" wrapText="1"/>
    </xf>
    <xf numFmtId="168" fontId="7" fillId="0" borderId="1" xfId="0" applyNumberFormat="1" applyFont="1" applyBorder="1" applyAlignment="1">
      <alignment vertical="top" wrapText="1"/>
    </xf>
    <xf numFmtId="0" fontId="7" fillId="0" borderId="1" xfId="0" applyFont="1" applyBorder="1" applyAlignment="1">
      <alignment vertical="top" wrapText="1"/>
    </xf>
    <xf numFmtId="0" fontId="9" fillId="0" borderId="13" xfId="0" applyFont="1" applyBorder="1" applyAlignment="1">
      <alignment vertical="center" wrapText="1"/>
    </xf>
    <xf numFmtId="168" fontId="7" fillId="0" borderId="12" xfId="0" applyNumberFormat="1" applyFont="1" applyBorder="1" applyAlignment="1">
      <alignment vertical="center" wrapText="1"/>
    </xf>
    <xf numFmtId="0" fontId="7" fillId="0" borderId="12" xfId="0" applyFont="1" applyBorder="1" applyAlignment="1">
      <alignment vertical="center" wrapText="1"/>
    </xf>
    <xf numFmtId="0" fontId="11" fillId="0" borderId="1" xfId="0" applyFont="1" applyBorder="1" applyAlignment="1">
      <alignment horizontal="centerContinuous" vertical="center"/>
    </xf>
    <xf numFmtId="0" fontId="11" fillId="0" borderId="1" xfId="0" applyFont="1" applyBorder="1" applyAlignment="1">
      <alignment horizontal="centerContinuous" vertical="top"/>
    </xf>
    <xf numFmtId="0" fontId="11" fillId="0" borderId="1" xfId="0" applyFont="1" applyBorder="1" applyAlignment="1">
      <alignment horizontal="centerContinuous" vertical="top" wrapText="1"/>
    </xf>
    <xf numFmtId="167" fontId="11" fillId="0" borderId="1" xfId="0" applyNumberFormat="1" applyFont="1" applyBorder="1" applyAlignment="1">
      <alignment horizontal="right" vertical="top"/>
    </xf>
    <xf numFmtId="10" fontId="11" fillId="0" borderId="1" xfId="0" applyNumberFormat="1" applyFont="1" applyBorder="1" applyAlignment="1">
      <alignment horizontal="right" vertical="top"/>
    </xf>
    <xf numFmtId="0" fontId="7" fillId="0" borderId="1" xfId="0" applyFont="1" applyBorder="1" applyAlignment="1">
      <alignment vertical="top"/>
    </xf>
    <xf numFmtId="0" fontId="7" fillId="0" borderId="1" xfId="0" applyFont="1" applyBorder="1"/>
    <xf numFmtId="0" fontId="7" fillId="0" borderId="7" xfId="0" applyFont="1" applyBorder="1" applyAlignment="1">
      <alignment vertical="top"/>
    </xf>
    <xf numFmtId="0" fontId="8" fillId="2" borderId="8" xfId="0" applyFont="1" applyFill="1" applyBorder="1" applyAlignment="1">
      <alignment horizontal="center" vertical="center"/>
    </xf>
    <xf numFmtId="165" fontId="7" fillId="0" borderId="14" xfId="1" applyNumberFormat="1" applyFont="1" applyBorder="1" applyAlignment="1">
      <alignment vertical="center"/>
    </xf>
    <xf numFmtId="9" fontId="12" fillId="0" borderId="1" xfId="2" applyFont="1" applyBorder="1" applyAlignment="1">
      <alignment vertical="center"/>
    </xf>
    <xf numFmtId="168" fontId="7" fillId="0" borderId="7" xfId="0" applyNumberFormat="1" applyFont="1" applyBorder="1" applyAlignment="1">
      <alignment vertical="center" wrapText="1"/>
    </xf>
    <xf numFmtId="165" fontId="7" fillId="0" borderId="8" xfId="1" applyNumberFormat="1" applyFont="1" applyBorder="1" applyAlignment="1">
      <alignment vertical="center"/>
    </xf>
    <xf numFmtId="0" fontId="7" fillId="0" borderId="9" xfId="0" applyFont="1" applyBorder="1" applyAlignment="1">
      <alignment vertical="center" wrapText="1"/>
    </xf>
    <xf numFmtId="0" fontId="7" fillId="0" borderId="0" xfId="0" applyFont="1" applyAlignment="1">
      <alignment vertical="top" wrapText="1"/>
    </xf>
    <xf numFmtId="0" fontId="7" fillId="0" borderId="0" xfId="0" applyFont="1" applyAlignment="1">
      <alignment vertical="center"/>
    </xf>
    <xf numFmtId="9" fontId="12" fillId="0" borderId="10" xfId="2" applyFont="1" applyBorder="1" applyAlignment="1">
      <alignment vertical="center"/>
    </xf>
    <xf numFmtId="0" fontId="7" fillId="0" borderId="6" xfId="0" applyFont="1" applyBorder="1" applyAlignment="1">
      <alignment horizontal="center" vertical="center" wrapText="1"/>
    </xf>
    <xf numFmtId="0" fontId="7" fillId="0" borderId="16" xfId="0" applyFont="1" applyBorder="1" applyAlignment="1">
      <alignment vertical="top" wrapText="1"/>
    </xf>
    <xf numFmtId="0" fontId="7" fillId="0" borderId="4" xfId="0" applyFont="1" applyBorder="1" applyAlignment="1">
      <alignment horizontal="center" vertical="center" wrapText="1"/>
    </xf>
    <xf numFmtId="0" fontId="7" fillId="0" borderId="15" xfId="0" applyFont="1" applyBorder="1" applyAlignment="1">
      <alignment vertical="center" wrapText="1"/>
    </xf>
    <xf numFmtId="0" fontId="7" fillId="0" borderId="4" xfId="0" applyFont="1" applyBorder="1" applyAlignment="1">
      <alignment vertical="center" wrapText="1"/>
    </xf>
    <xf numFmtId="0" fontId="7" fillId="0" borderId="4" xfId="0" applyFont="1" applyBorder="1" applyAlignment="1">
      <alignment vertical="top" wrapText="1"/>
    </xf>
    <xf numFmtId="168" fontId="7" fillId="0" borderId="17" xfId="0" applyNumberFormat="1" applyFont="1" applyBorder="1" applyAlignment="1">
      <alignment vertical="center" wrapText="1"/>
    </xf>
    <xf numFmtId="0" fontId="7" fillId="0" borderId="17" xfId="0" applyFont="1" applyBorder="1" applyAlignment="1">
      <alignment vertical="center" wrapText="1"/>
    </xf>
    <xf numFmtId="0" fontId="10" fillId="0" borderId="1" xfId="0" applyFont="1" applyBorder="1" applyAlignment="1">
      <alignment vertical="center" wrapText="1"/>
    </xf>
    <xf numFmtId="0" fontId="7" fillId="0" borderId="5" xfId="0" applyFont="1" applyBorder="1" applyAlignment="1">
      <alignment vertical="center" wrapText="1"/>
    </xf>
    <xf numFmtId="0" fontId="13" fillId="0" borderId="1" xfId="0" applyFont="1" applyBorder="1" applyAlignment="1">
      <alignment vertical="center" wrapText="1"/>
    </xf>
    <xf numFmtId="0" fontId="7" fillId="0" borderId="6" xfId="0" applyFont="1" applyBorder="1" applyAlignment="1">
      <alignment vertical="center" wrapText="1"/>
    </xf>
    <xf numFmtId="0" fontId="7" fillId="0" borderId="1" xfId="0" applyFont="1" applyBorder="1" applyAlignment="1">
      <alignment horizontal="left" vertical="center" wrapText="1"/>
    </xf>
    <xf numFmtId="15" fontId="7" fillId="0" borderId="1" xfId="0" applyNumberFormat="1" applyFont="1" applyBorder="1" applyAlignment="1">
      <alignment horizontal="left" vertical="center" wrapText="1"/>
    </xf>
    <xf numFmtId="0" fontId="11" fillId="0" borderId="8" xfId="0" applyFont="1" applyBorder="1" applyAlignment="1">
      <alignment horizontal="center" vertical="top"/>
    </xf>
    <xf numFmtId="0" fontId="8" fillId="2" borderId="0" xfId="0" applyFont="1" applyFill="1" applyAlignment="1">
      <alignment horizontal="center" vertical="center" wrapText="1"/>
    </xf>
    <xf numFmtId="0" fontId="14" fillId="4"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164" fontId="14" fillId="4" borderId="2" xfId="1" applyFont="1" applyFill="1" applyBorder="1" applyAlignment="1">
      <alignment horizontal="center" vertical="center" wrapText="1"/>
    </xf>
    <xf numFmtId="0" fontId="14" fillId="6" borderId="2" xfId="0" applyFont="1" applyFill="1" applyBorder="1" applyAlignment="1">
      <alignment horizontal="center" vertical="center" wrapText="1"/>
    </xf>
    <xf numFmtId="0" fontId="14" fillId="4" borderId="2" xfId="0" applyFont="1" applyFill="1" applyBorder="1" applyAlignment="1">
      <alignment horizontal="center" vertical="center"/>
    </xf>
    <xf numFmtId="0" fontId="14" fillId="5" borderId="3" xfId="0" applyFont="1" applyFill="1" applyBorder="1" applyAlignment="1">
      <alignment horizontal="center" vertical="center" wrapText="1"/>
    </xf>
    <xf numFmtId="0" fontId="14" fillId="5" borderId="2" xfId="0" applyFont="1" applyFill="1" applyBorder="1" applyAlignment="1">
      <alignment horizontal="center" vertical="center"/>
    </xf>
    <xf numFmtId="168" fontId="7" fillId="0" borderId="7" xfId="0" applyNumberFormat="1" applyFont="1" applyBorder="1" applyAlignment="1">
      <alignment vertical="top"/>
    </xf>
    <xf numFmtId="168" fontId="7" fillId="0" borderId="0" xfId="0" applyNumberFormat="1" applyFont="1" applyAlignment="1">
      <alignment vertical="top"/>
    </xf>
    <xf numFmtId="15" fontId="7" fillId="0" borderId="1" xfId="0" applyNumberFormat="1" applyFont="1" applyBorder="1" applyAlignment="1">
      <alignment vertical="center" wrapText="1"/>
    </xf>
    <xf numFmtId="15" fontId="7" fillId="0" borderId="1" xfId="0" applyNumberFormat="1" applyFont="1" applyBorder="1" applyAlignment="1">
      <alignment horizontal="left" vertical="top" wrapText="1"/>
    </xf>
    <xf numFmtId="165" fontId="7" fillId="0" borderId="1" xfId="1" applyNumberFormat="1" applyFont="1" applyFill="1" applyBorder="1" applyAlignment="1">
      <alignment vertical="center"/>
    </xf>
    <xf numFmtId="0" fontId="9" fillId="0" borderId="1" xfId="0" applyFont="1" applyBorder="1" applyAlignment="1">
      <alignment horizontal="left" vertical="center" wrapText="1"/>
    </xf>
    <xf numFmtId="0" fontId="9" fillId="0" borderId="1" xfId="0" quotePrefix="1" applyFont="1" applyBorder="1" applyAlignment="1">
      <alignment vertical="center" wrapText="1"/>
    </xf>
    <xf numFmtId="0" fontId="7" fillId="0" borderId="10" xfId="0" applyFont="1" applyBorder="1" applyAlignment="1">
      <alignment horizontal="left" vertical="center" wrapText="1"/>
    </xf>
    <xf numFmtId="168" fontId="7" fillId="3" borderId="7" xfId="0" applyNumberFormat="1" applyFont="1" applyFill="1" applyBorder="1" applyAlignment="1">
      <alignment vertical="top"/>
    </xf>
    <xf numFmtId="0" fontId="11" fillId="0" borderId="1" xfId="0" applyFont="1" applyBorder="1" applyAlignment="1">
      <alignment horizontal="centerContinuous" vertical="center" wrapText="1"/>
    </xf>
    <xf numFmtId="167" fontId="11" fillId="0" borderId="1" xfId="0" applyNumberFormat="1" applyFont="1" applyBorder="1" applyAlignment="1">
      <alignment horizontal="right" vertical="center"/>
    </xf>
    <xf numFmtId="10" fontId="11" fillId="0" borderId="1" xfId="0" applyNumberFormat="1" applyFont="1" applyBorder="1" applyAlignment="1">
      <alignment horizontal="right" vertical="center"/>
    </xf>
    <xf numFmtId="165" fontId="7" fillId="0" borderId="0" xfId="0" applyNumberFormat="1" applyFont="1"/>
    <xf numFmtId="164" fontId="7" fillId="0" borderId="1" xfId="1" applyFont="1" applyBorder="1" applyAlignment="1">
      <alignment vertical="center" wrapText="1"/>
    </xf>
    <xf numFmtId="165" fontId="7" fillId="0" borderId="0" xfId="1" applyNumberFormat="1" applyFont="1"/>
    <xf numFmtId="10" fontId="7" fillId="0" borderId="0" xfId="2" applyNumberFormat="1" applyFont="1"/>
    <xf numFmtId="0" fontId="7" fillId="0" borderId="11" xfId="0" applyFont="1" applyBorder="1" applyAlignment="1">
      <alignment horizontal="left" vertical="center" wrapText="1"/>
    </xf>
    <xf numFmtId="0" fontId="7" fillId="9" borderId="1" xfId="0" applyFont="1" applyFill="1" applyBorder="1" applyAlignment="1">
      <alignment vertical="center" wrapText="1"/>
    </xf>
    <xf numFmtId="15" fontId="12" fillId="0" borderId="1" xfId="0" applyNumberFormat="1" applyFont="1" applyBorder="1" applyAlignment="1">
      <alignment horizontal="left" vertical="center" wrapText="1"/>
    </xf>
    <xf numFmtId="167" fontId="7" fillId="0" borderId="0" xfId="3" applyNumberFormat="1" applyFont="1"/>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4" fillId="5" borderId="1" xfId="0" applyFont="1" applyFill="1" applyBorder="1" applyAlignment="1">
      <alignment horizontal="center" vertical="top" wrapText="1"/>
    </xf>
    <xf numFmtId="0" fontId="7" fillId="5" borderId="1" xfId="0" applyFont="1" applyFill="1" applyBorder="1" applyAlignment="1">
      <alignment vertical="top" wrapText="1"/>
    </xf>
    <xf numFmtId="0" fontId="7" fillId="0" borderId="1" xfId="0"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167" fontId="7" fillId="0" borderId="1" xfId="3" applyNumberFormat="1" applyFont="1" applyBorder="1" applyAlignment="1">
      <alignment vertical="center"/>
    </xf>
    <xf numFmtId="167" fontId="7" fillId="0" borderId="1" xfId="0" applyNumberFormat="1" applyFont="1" applyBorder="1" applyAlignment="1">
      <alignment vertical="center"/>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16" fillId="8" borderId="1" xfId="0" applyFont="1" applyFill="1" applyBorder="1" applyAlignment="1">
      <alignment horizontal="center" vertical="center"/>
    </xf>
    <xf numFmtId="0" fontId="16" fillId="8" borderId="1" xfId="0" applyFont="1" applyFill="1" applyBorder="1" applyAlignment="1">
      <alignment vertical="center"/>
    </xf>
    <xf numFmtId="0" fontId="17" fillId="8" borderId="1" xfId="0" applyFont="1" applyFill="1" applyBorder="1" applyAlignment="1">
      <alignment horizontal="left" vertical="center"/>
    </xf>
    <xf numFmtId="167" fontId="16" fillId="8" borderId="1" xfId="3" applyNumberFormat="1" applyFont="1" applyFill="1" applyBorder="1" applyAlignment="1">
      <alignment vertical="center"/>
    </xf>
    <xf numFmtId="167" fontId="16" fillId="8" borderId="1" xfId="0" applyNumberFormat="1" applyFont="1" applyFill="1" applyBorder="1" applyAlignment="1">
      <alignment vertical="center"/>
    </xf>
    <xf numFmtId="9" fontId="16" fillId="8" borderId="1" xfId="2" applyFont="1" applyFill="1" applyBorder="1" applyAlignment="1">
      <alignment vertical="center"/>
    </xf>
    <xf numFmtId="0" fontId="16" fillId="8" borderId="1" xfId="0" applyFont="1" applyFill="1" applyBorder="1" applyAlignment="1">
      <alignment horizontal="center" vertical="center" wrapText="1"/>
    </xf>
    <xf numFmtId="0" fontId="7" fillId="8" borderId="1" xfId="0" applyFont="1" applyFill="1" applyBorder="1" applyAlignment="1">
      <alignment horizontal="left" vertical="top" wrapText="1"/>
    </xf>
    <xf numFmtId="0" fontId="16" fillId="8" borderId="1" xfId="0" applyFont="1" applyFill="1" applyBorder="1" applyAlignment="1">
      <alignment horizontal="center" vertical="top" wrapText="1"/>
    </xf>
    <xf numFmtId="0" fontId="17" fillId="8" borderId="1" xfId="0" applyFont="1" applyFill="1" applyBorder="1" applyAlignment="1">
      <alignment horizontal="left" vertical="center" wrapText="1"/>
    </xf>
    <xf numFmtId="0" fontId="7" fillId="8" borderId="1" xfId="0" quotePrefix="1" applyFont="1" applyFill="1" applyBorder="1" applyAlignment="1">
      <alignment horizontal="left" vertical="top" wrapText="1"/>
    </xf>
    <xf numFmtId="164" fontId="11" fillId="0" borderId="1" xfId="1" applyFont="1" applyBorder="1" applyAlignment="1">
      <alignment vertical="center"/>
    </xf>
    <xf numFmtId="10" fontId="11" fillId="0" borderId="1" xfId="2" applyNumberFormat="1" applyFont="1" applyBorder="1" applyAlignment="1">
      <alignment vertical="center"/>
    </xf>
    <xf numFmtId="0" fontId="11" fillId="0" borderId="1" xfId="0" applyFont="1" applyBorder="1" applyAlignment="1">
      <alignment vertical="center" wrapText="1"/>
    </xf>
    <xf numFmtId="0" fontId="11" fillId="0" borderId="0" xfId="0" applyFont="1" applyAlignment="1">
      <alignment vertical="center"/>
    </xf>
    <xf numFmtId="0" fontId="6" fillId="0" borderId="1" xfId="0" applyFont="1" applyBorder="1" applyAlignment="1">
      <alignment horizontal="center" vertical="center"/>
    </xf>
    <xf numFmtId="0" fontId="11" fillId="0" borderId="4" xfId="0" applyFont="1" applyBorder="1" applyAlignment="1">
      <alignment vertical="center"/>
    </xf>
    <xf numFmtId="0" fontId="11" fillId="0" borderId="8" xfId="0" applyFont="1" applyBorder="1" applyAlignment="1">
      <alignment vertical="center"/>
    </xf>
  </cellXfs>
  <cellStyles count="4">
    <cellStyle name="Comma" xfId="1" builtinId="3"/>
    <cellStyle name="Comma 2" xfId="3" xr:uid="{BDDA283A-7AEC-47AC-B1CB-2BFE69B313CF}"/>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69\Downloads\260329%20Recovery%20Plan%20TOK%20April%202026%20R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301372\AppData\Local\Packages\5319275A.WhatsAppDesktop_cv1g1gvanyjgm\LocalState\sessions\2BFCD5E0E26062BC049D710CA460F0AFF4467217\transfers\2026-26\DATA_BASE_MK_GREENFIELD%20(260628%20-%20panjang%20pip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sheetName val="Tree "/>
      <sheetName val="Sheet1"/>
      <sheetName val="Sheet3"/>
      <sheetName val="Sheet2"/>
      <sheetName val="Data Material"/>
      <sheetName val="Tree (1)"/>
      <sheetName val="Denda"/>
      <sheetName val="Tree (for PMO 1)"/>
    </sheetNames>
    <sheetDataSet>
      <sheetData sheetId="0">
        <row r="4">
          <cell r="I4">
            <v>46113</v>
          </cell>
          <cell r="L4" t="str">
            <v>Program Berjalan</v>
          </cell>
          <cell r="N4" t="str">
            <v>TOK +90 Hari</v>
          </cell>
          <cell r="R4">
            <v>50277463541</v>
          </cell>
          <cell r="AU4" t="str">
            <v>Strategi 3</v>
          </cell>
        </row>
        <row r="5">
          <cell r="I5">
            <v>46113</v>
          </cell>
          <cell r="L5" t="str">
            <v>Program Berjalan</v>
          </cell>
          <cell r="N5" t="str">
            <v>TOK</v>
          </cell>
          <cell r="R5">
            <v>161684727812</v>
          </cell>
          <cell r="AU5" t="str">
            <v>Strategi 3</v>
          </cell>
        </row>
        <row r="6">
          <cell r="I6">
            <v>46113</v>
          </cell>
          <cell r="L6" t="str">
            <v>Program Berjalan</v>
          </cell>
          <cell r="N6" t="str">
            <v>TOK</v>
          </cell>
          <cell r="R6">
            <v>27152951022</v>
          </cell>
          <cell r="AU6" t="str">
            <v>Strategi 3</v>
          </cell>
        </row>
        <row r="7">
          <cell r="I7">
            <v>46113</v>
          </cell>
          <cell r="L7" t="str">
            <v>Program Berjalan</v>
          </cell>
          <cell r="N7" t="str">
            <v>TOK +90 Hari</v>
          </cell>
          <cell r="R7">
            <v>201942465303</v>
          </cell>
          <cell r="AU7" t="str">
            <v>Strategi 3</v>
          </cell>
        </row>
        <row r="8">
          <cell r="I8">
            <v>46113</v>
          </cell>
          <cell r="L8" t="str">
            <v>Program Berjalan</v>
          </cell>
          <cell r="N8" t="str">
            <v>TOK +90 Hari</v>
          </cell>
          <cell r="R8">
            <v>30274805397</v>
          </cell>
          <cell r="AU8" t="str">
            <v>Strategi 3</v>
          </cell>
        </row>
        <row r="9">
          <cell r="I9">
            <v>46113</v>
          </cell>
          <cell r="L9" t="str">
            <v>Program Berjalan</v>
          </cell>
          <cell r="N9" t="str">
            <v>TOK +90 Hari</v>
          </cell>
          <cell r="R9">
            <v>26619887845</v>
          </cell>
          <cell r="AU9" t="str">
            <v>Strategi 3</v>
          </cell>
        </row>
        <row r="10">
          <cell r="I10">
            <v>46113</v>
          </cell>
          <cell r="L10" t="str">
            <v>Program Berjalan</v>
          </cell>
          <cell r="N10" t="str">
            <v>TOK +90 Hari</v>
          </cell>
          <cell r="R10">
            <v>2211882788</v>
          </cell>
          <cell r="AU10" t="str">
            <v>Strategi 3</v>
          </cell>
        </row>
        <row r="11">
          <cell r="I11">
            <v>46113</v>
          </cell>
          <cell r="L11" t="str">
            <v>Program Berjalan</v>
          </cell>
          <cell r="N11" t="str">
            <v>TOK +90 Hari</v>
          </cell>
          <cell r="R11">
            <v>8907307436</v>
          </cell>
          <cell r="AU11" t="str">
            <v>Strategi 2</v>
          </cell>
        </row>
        <row r="12">
          <cell r="I12">
            <v>46113</v>
          </cell>
          <cell r="L12" t="str">
            <v>Program Berjalan</v>
          </cell>
          <cell r="N12" t="str">
            <v>TOK +90 Hari</v>
          </cell>
          <cell r="R12">
            <v>31637031965</v>
          </cell>
          <cell r="AU12" t="str">
            <v>Strategi 3</v>
          </cell>
        </row>
        <row r="13">
          <cell r="I13">
            <v>46113</v>
          </cell>
          <cell r="L13" t="str">
            <v>Program Berjalan</v>
          </cell>
          <cell r="N13" t="str">
            <v>TOK +90 Hari</v>
          </cell>
          <cell r="R13">
            <v>45174997846</v>
          </cell>
          <cell r="AU13" t="str">
            <v>Strategi 3</v>
          </cell>
        </row>
        <row r="14">
          <cell r="I14">
            <v>46113</v>
          </cell>
          <cell r="L14" t="str">
            <v>Program Berjalan</v>
          </cell>
          <cell r="N14" t="str">
            <v>TOK +90 Hari</v>
          </cell>
          <cell r="R14">
            <v>37542682765</v>
          </cell>
          <cell r="AU14" t="str">
            <v>Strategi 3</v>
          </cell>
        </row>
        <row r="15">
          <cell r="I15">
            <v>46113</v>
          </cell>
          <cell r="L15" t="str">
            <v>Program Berjalan</v>
          </cell>
          <cell r="N15" t="str">
            <v>TOK +90 Hari</v>
          </cell>
          <cell r="R15">
            <v>35732085802</v>
          </cell>
          <cell r="AU15" t="str">
            <v>Strategi 3</v>
          </cell>
        </row>
        <row r="16">
          <cell r="I16">
            <v>46113</v>
          </cell>
          <cell r="L16" t="str">
            <v>Program Berjalan</v>
          </cell>
          <cell r="N16" t="str">
            <v>TOK +90 Hari</v>
          </cell>
          <cell r="R16">
            <v>26163678274</v>
          </cell>
          <cell r="AU16" t="str">
            <v>Strategi 3</v>
          </cell>
        </row>
        <row r="17">
          <cell r="I17">
            <v>46113</v>
          </cell>
          <cell r="L17" t="str">
            <v>Program Berjalan</v>
          </cell>
          <cell r="N17" t="str">
            <v>TOK +90 Hari</v>
          </cell>
          <cell r="R17">
            <v>39965885717</v>
          </cell>
          <cell r="AU17" t="str">
            <v>Strategi 3</v>
          </cell>
        </row>
        <row r="18">
          <cell r="I18">
            <v>46113</v>
          </cell>
          <cell r="L18" t="str">
            <v>Program Berjalan</v>
          </cell>
          <cell r="N18" t="str">
            <v>TOK +90 Hari</v>
          </cell>
          <cell r="R18">
            <v>20859354660</v>
          </cell>
          <cell r="AU18" t="str">
            <v>Strategi 3</v>
          </cell>
        </row>
        <row r="19">
          <cell r="I19">
            <v>46113</v>
          </cell>
          <cell r="L19" t="str">
            <v>Program Berjalan</v>
          </cell>
          <cell r="N19" t="str">
            <v>TOK +90 Hari</v>
          </cell>
          <cell r="R19">
            <v>32722678567</v>
          </cell>
          <cell r="AU19" t="str">
            <v>Strategi 3</v>
          </cell>
        </row>
        <row r="20">
          <cell r="I20">
            <v>46113</v>
          </cell>
          <cell r="L20" t="str">
            <v>Program Berjalan</v>
          </cell>
          <cell r="N20" t="str">
            <v>TOK +90 Hari</v>
          </cell>
          <cell r="R20">
            <v>110907608174</v>
          </cell>
          <cell r="AU20" t="str">
            <v>Strategi 3</v>
          </cell>
        </row>
        <row r="21">
          <cell r="I21">
            <v>46113</v>
          </cell>
          <cell r="L21" t="str">
            <v>Program Berjalan</v>
          </cell>
          <cell r="N21" t="str">
            <v>TOK</v>
          </cell>
          <cell r="R21">
            <v>781549297</v>
          </cell>
          <cell r="AU21" t="str">
            <v>Strategi 2</v>
          </cell>
        </row>
        <row r="22">
          <cell r="I22">
            <v>46113</v>
          </cell>
          <cell r="L22" t="str">
            <v>Program Berjalan</v>
          </cell>
          <cell r="N22" t="str">
            <v>TOK</v>
          </cell>
          <cell r="R22">
            <v>815088047</v>
          </cell>
          <cell r="AU22" t="str">
            <v>Strategi 2</v>
          </cell>
        </row>
        <row r="23">
          <cell r="I23">
            <v>46113</v>
          </cell>
          <cell r="L23" t="str">
            <v>Program Berjalan</v>
          </cell>
          <cell r="N23" t="str">
            <v>TOK</v>
          </cell>
          <cell r="R23">
            <v>1639051966</v>
          </cell>
          <cell r="AU23" t="str">
            <v>Strategi 2</v>
          </cell>
        </row>
        <row r="24">
          <cell r="I24">
            <v>46113</v>
          </cell>
          <cell r="L24" t="str">
            <v>Program Berjalan</v>
          </cell>
          <cell r="N24" t="str">
            <v>TOK</v>
          </cell>
          <cell r="R24">
            <v>1118265561</v>
          </cell>
          <cell r="AU24" t="str">
            <v>Strategi 2</v>
          </cell>
        </row>
        <row r="25">
          <cell r="I25">
            <v>46113</v>
          </cell>
          <cell r="L25" t="str">
            <v>Program Berjalan</v>
          </cell>
          <cell r="N25" t="str">
            <v>TOK +90 Hari</v>
          </cell>
          <cell r="R25">
            <v>21199168948</v>
          </cell>
          <cell r="AU25" t="str">
            <v>Strategi 3</v>
          </cell>
        </row>
        <row r="26">
          <cell r="I26">
            <v>46113</v>
          </cell>
          <cell r="L26" t="str">
            <v>Program Berjalan</v>
          </cell>
          <cell r="N26" t="str">
            <v>TOK</v>
          </cell>
          <cell r="R26">
            <v>1208135926</v>
          </cell>
          <cell r="AU26" t="str">
            <v>Strategi 2</v>
          </cell>
        </row>
        <row r="27">
          <cell r="I27">
            <v>46113</v>
          </cell>
          <cell r="L27" t="str">
            <v>Program Berjalan</v>
          </cell>
          <cell r="N27" t="str">
            <v>TOK</v>
          </cell>
          <cell r="R27">
            <v>216427470</v>
          </cell>
          <cell r="AU27" t="str">
            <v>Strategi 2</v>
          </cell>
        </row>
        <row r="28">
          <cell r="I28">
            <v>46113</v>
          </cell>
          <cell r="L28" t="str">
            <v>Program Berjalan</v>
          </cell>
          <cell r="N28" t="str">
            <v>TOK</v>
          </cell>
          <cell r="R28">
            <v>5120326172</v>
          </cell>
          <cell r="AU28" t="str">
            <v>Strategi 2</v>
          </cell>
        </row>
        <row r="29">
          <cell r="I29">
            <v>46113</v>
          </cell>
          <cell r="L29" t="str">
            <v>Program Berjalan</v>
          </cell>
          <cell r="N29" t="str">
            <v>Dikeluarkan</v>
          </cell>
          <cell r="R29">
            <v>47547203012</v>
          </cell>
          <cell r="AU29" t="str">
            <v>Strategi 3</v>
          </cell>
        </row>
        <row r="30">
          <cell r="I30">
            <v>46113</v>
          </cell>
          <cell r="L30" t="str">
            <v>Program Berjalan</v>
          </cell>
          <cell r="N30" t="str">
            <v>Dikeluarkan</v>
          </cell>
          <cell r="R30">
            <v>17702853748</v>
          </cell>
          <cell r="AU30" t="str">
            <v>Strategi 3</v>
          </cell>
        </row>
        <row r="31">
          <cell r="I31">
            <v>46113</v>
          </cell>
          <cell r="L31" t="str">
            <v>Program Berjalan</v>
          </cell>
          <cell r="N31" t="str">
            <v>Dikeluarkan</v>
          </cell>
          <cell r="R31">
            <v>983838843</v>
          </cell>
          <cell r="AU31" t="str">
            <v>Strategi 3</v>
          </cell>
        </row>
        <row r="32">
          <cell r="I32">
            <v>46113</v>
          </cell>
          <cell r="L32" t="str">
            <v>Program Berjalan</v>
          </cell>
          <cell r="N32" t="str">
            <v>Dikeluarkan</v>
          </cell>
          <cell r="R32">
            <v>224679205</v>
          </cell>
          <cell r="AU32" t="str">
            <v>Strategi 3</v>
          </cell>
        </row>
        <row r="33">
          <cell r="I33">
            <v>46113</v>
          </cell>
          <cell r="L33" t="str">
            <v>Program Berjalan</v>
          </cell>
          <cell r="N33" t="str">
            <v>Dikeluarkan</v>
          </cell>
          <cell r="R33">
            <v>9781028172</v>
          </cell>
          <cell r="AU33" t="str">
            <v>Strategi 2</v>
          </cell>
        </row>
        <row r="34">
          <cell r="I34">
            <v>46113</v>
          </cell>
          <cell r="L34" t="str">
            <v>Program Berjalan</v>
          </cell>
          <cell r="N34" t="str">
            <v>Dikeluarkan</v>
          </cell>
          <cell r="R34">
            <v>17649963246</v>
          </cell>
          <cell r="AU34" t="str">
            <v>Strategi 3</v>
          </cell>
        </row>
        <row r="35">
          <cell r="I35">
            <v>46113</v>
          </cell>
          <cell r="L35" t="str">
            <v>Program Berjalan</v>
          </cell>
          <cell r="N35" t="str">
            <v>Dikeluarkan</v>
          </cell>
          <cell r="R35">
            <v>10125135685</v>
          </cell>
          <cell r="AU35" t="str">
            <v>Strategi 3</v>
          </cell>
        </row>
        <row r="36">
          <cell r="I36">
            <v>46113</v>
          </cell>
          <cell r="L36" t="str">
            <v>Program Berjalan</v>
          </cell>
          <cell r="N36" t="str">
            <v>Dikeluarkan</v>
          </cell>
          <cell r="R36">
            <v>22251292018</v>
          </cell>
          <cell r="AU36" t="str">
            <v>Strategi 3</v>
          </cell>
        </row>
        <row r="37">
          <cell r="I37">
            <v>46113</v>
          </cell>
          <cell r="L37" t="str">
            <v>Program Berjalan</v>
          </cell>
          <cell r="N37" t="str">
            <v>Dikeluarkan</v>
          </cell>
          <cell r="R37">
            <v>7463167245</v>
          </cell>
          <cell r="AU37" t="str">
            <v>Strategi 3</v>
          </cell>
        </row>
        <row r="38">
          <cell r="I38">
            <v>46113</v>
          </cell>
          <cell r="L38" t="str">
            <v>Cancel</v>
          </cell>
          <cell r="R38">
            <v>784083898</v>
          </cell>
        </row>
        <row r="39">
          <cell r="I39">
            <v>46113</v>
          </cell>
          <cell r="L39" t="str">
            <v>Program Berjalan</v>
          </cell>
          <cell r="N39" t="str">
            <v>TOK</v>
          </cell>
          <cell r="R39">
            <v>542982145</v>
          </cell>
          <cell r="AU39" t="str">
            <v>Strategi 3</v>
          </cell>
        </row>
        <row r="40">
          <cell r="I40">
            <v>46113</v>
          </cell>
          <cell r="L40" t="str">
            <v>Program Berjalan</v>
          </cell>
          <cell r="N40" t="str">
            <v>TOK</v>
          </cell>
          <cell r="R40">
            <v>16686085218</v>
          </cell>
          <cell r="AU40" t="str">
            <v>Strategi 2</v>
          </cell>
        </row>
        <row r="41">
          <cell r="I41">
            <v>46113</v>
          </cell>
          <cell r="L41" t="str">
            <v>Cancel</v>
          </cell>
          <cell r="R41">
            <v>271645744</v>
          </cell>
        </row>
        <row r="42">
          <cell r="I42">
            <v>46113</v>
          </cell>
          <cell r="L42" t="str">
            <v>Program Berjalan</v>
          </cell>
          <cell r="N42" t="str">
            <v>TOK</v>
          </cell>
          <cell r="R42">
            <v>314811380</v>
          </cell>
          <cell r="AU42" t="str">
            <v>Strategi 2</v>
          </cell>
        </row>
        <row r="43">
          <cell r="I43">
            <v>46113</v>
          </cell>
          <cell r="L43" t="str">
            <v>Program Berjalan</v>
          </cell>
          <cell r="N43" t="str">
            <v>TOK +90 Hari</v>
          </cell>
          <cell r="R43">
            <v>562633602</v>
          </cell>
          <cell r="AU43" t="str">
            <v>Strategi 3</v>
          </cell>
        </row>
        <row r="44">
          <cell r="I44">
            <v>46113</v>
          </cell>
          <cell r="L44" t="str">
            <v>Program Berjalan</v>
          </cell>
          <cell r="N44" t="str">
            <v>TOK +90 Hari</v>
          </cell>
          <cell r="R44">
            <v>2899780730</v>
          </cell>
          <cell r="AU44" t="str">
            <v>Strategi 3</v>
          </cell>
        </row>
        <row r="45">
          <cell r="I45">
            <v>46113</v>
          </cell>
          <cell r="L45" t="str">
            <v>Cancel</v>
          </cell>
          <cell r="R45">
            <v>235229615</v>
          </cell>
        </row>
        <row r="46">
          <cell r="I46">
            <v>46113</v>
          </cell>
          <cell r="L46" t="str">
            <v>Program Berjalan</v>
          </cell>
          <cell r="N46" t="str">
            <v>TOK +90 Hari</v>
          </cell>
          <cell r="R46">
            <v>216162043</v>
          </cell>
          <cell r="AU46" t="str">
            <v>Strategi 3</v>
          </cell>
        </row>
        <row r="47">
          <cell r="I47">
            <v>46113</v>
          </cell>
          <cell r="L47" t="str">
            <v>Program Berjalan</v>
          </cell>
          <cell r="N47" t="str">
            <v>TOK +90 Hari</v>
          </cell>
          <cell r="R47">
            <v>636530022</v>
          </cell>
          <cell r="AU47" t="str">
            <v>Strategi 3</v>
          </cell>
        </row>
        <row r="48">
          <cell r="I48">
            <v>46113</v>
          </cell>
          <cell r="L48" t="str">
            <v>Program Berjalan</v>
          </cell>
          <cell r="N48" t="str">
            <v>TOK</v>
          </cell>
          <cell r="R48">
            <v>817960225</v>
          </cell>
          <cell r="AU48" t="str">
            <v>Strategi 2</v>
          </cell>
        </row>
        <row r="49">
          <cell r="I49">
            <v>46113</v>
          </cell>
          <cell r="L49" t="str">
            <v>Cancel</v>
          </cell>
          <cell r="R49">
            <v>170357072</v>
          </cell>
        </row>
        <row r="50">
          <cell r="I50">
            <v>46113</v>
          </cell>
          <cell r="L50" t="str">
            <v>Program Berjalan</v>
          </cell>
          <cell r="N50" t="str">
            <v>TOK +90 Hari</v>
          </cell>
          <cell r="R50">
            <v>347707099</v>
          </cell>
          <cell r="AU50" t="str">
            <v>Strategi 3</v>
          </cell>
        </row>
        <row r="51">
          <cell r="I51">
            <v>46113</v>
          </cell>
          <cell r="L51" t="str">
            <v>Program Berjalan</v>
          </cell>
          <cell r="N51" t="str">
            <v>TOK +90 Hari</v>
          </cell>
          <cell r="R51">
            <v>190642074</v>
          </cell>
          <cell r="AU51" t="str">
            <v>Strategi 2</v>
          </cell>
        </row>
        <row r="52">
          <cell r="I52">
            <v>46113</v>
          </cell>
          <cell r="L52" t="str">
            <v>Program Berjalan</v>
          </cell>
          <cell r="N52" t="str">
            <v>TOK</v>
          </cell>
          <cell r="R52">
            <v>184312464</v>
          </cell>
          <cell r="AU52" t="str">
            <v>Strategi 2</v>
          </cell>
        </row>
        <row r="53">
          <cell r="I53">
            <v>46113</v>
          </cell>
          <cell r="L53" t="str">
            <v>Program Berjalan</v>
          </cell>
          <cell r="N53" t="str">
            <v>TOK</v>
          </cell>
          <cell r="R53">
            <v>190402526</v>
          </cell>
          <cell r="AU53" t="str">
            <v>Strategi 2</v>
          </cell>
        </row>
        <row r="54">
          <cell r="I54">
            <v>46113</v>
          </cell>
          <cell r="L54" t="str">
            <v>Program Berjalan</v>
          </cell>
          <cell r="N54" t="str">
            <v>TOK +90 Hari</v>
          </cell>
          <cell r="R54">
            <v>106576466</v>
          </cell>
          <cell r="AU54" t="str">
            <v>Strategi 3</v>
          </cell>
        </row>
        <row r="55">
          <cell r="I55">
            <v>46113</v>
          </cell>
          <cell r="L55" t="str">
            <v>Program Berjalan</v>
          </cell>
          <cell r="N55" t="str">
            <v>TOK</v>
          </cell>
          <cell r="R55">
            <v>1054494928</v>
          </cell>
          <cell r="AU55" t="str">
            <v>Strategi 2</v>
          </cell>
        </row>
        <row r="56">
          <cell r="I56">
            <v>46113</v>
          </cell>
          <cell r="L56" t="str">
            <v>Program Berjalan</v>
          </cell>
          <cell r="N56" t="str">
            <v>TOK +90 Hari</v>
          </cell>
          <cell r="R56">
            <v>1117663079</v>
          </cell>
          <cell r="AU56" t="str">
            <v>Strategi 3</v>
          </cell>
        </row>
        <row r="57">
          <cell r="I57">
            <v>46113</v>
          </cell>
          <cell r="L57" t="str">
            <v>Program Berjalan</v>
          </cell>
          <cell r="N57" t="str">
            <v>TOK +90 Hari</v>
          </cell>
          <cell r="R57">
            <v>2140671314</v>
          </cell>
          <cell r="AU57" t="str">
            <v>Strategi 3</v>
          </cell>
        </row>
        <row r="58">
          <cell r="I58">
            <v>46113</v>
          </cell>
          <cell r="L58" t="str">
            <v>Cancel</v>
          </cell>
          <cell r="R58">
            <v>8175476578</v>
          </cell>
        </row>
        <row r="59">
          <cell r="I59">
            <v>46113</v>
          </cell>
          <cell r="L59" t="str">
            <v>Program Berjalan</v>
          </cell>
          <cell r="N59" t="str">
            <v>TOK +90 Hari</v>
          </cell>
          <cell r="R59">
            <v>6653875358</v>
          </cell>
          <cell r="AU59" t="str">
            <v>Strategi 2</v>
          </cell>
        </row>
        <row r="60">
          <cell r="I60">
            <v>46113</v>
          </cell>
          <cell r="L60" t="str">
            <v>Program Berjalan</v>
          </cell>
          <cell r="N60" t="str">
            <v>TOK</v>
          </cell>
          <cell r="R60">
            <v>839525811</v>
          </cell>
          <cell r="AU60" t="str">
            <v>Strategi 2</v>
          </cell>
        </row>
        <row r="61">
          <cell r="I61">
            <v>46113</v>
          </cell>
          <cell r="L61" t="str">
            <v>Cancel</v>
          </cell>
          <cell r="R61">
            <v>94715691</v>
          </cell>
        </row>
        <row r="62">
          <cell r="I62">
            <v>46113</v>
          </cell>
          <cell r="L62" t="str">
            <v>Program Berjalan</v>
          </cell>
          <cell r="N62" t="str">
            <v>TOK +90 Hari</v>
          </cell>
          <cell r="R62">
            <v>263884511</v>
          </cell>
          <cell r="AU62" t="str">
            <v>Strategi 3</v>
          </cell>
        </row>
        <row r="63">
          <cell r="I63">
            <v>46113</v>
          </cell>
          <cell r="L63" t="str">
            <v>Cancel</v>
          </cell>
          <cell r="R63">
            <v>584398078</v>
          </cell>
        </row>
        <row r="64">
          <cell r="I64">
            <v>46113</v>
          </cell>
          <cell r="L64" t="str">
            <v>Program Berjalan</v>
          </cell>
          <cell r="N64" t="str">
            <v>TOK</v>
          </cell>
          <cell r="R64">
            <v>164269165</v>
          </cell>
          <cell r="AU64" t="str">
            <v>Strategi 2</v>
          </cell>
        </row>
        <row r="65">
          <cell r="I65">
            <v>46113</v>
          </cell>
          <cell r="L65" t="str">
            <v>Program Berjalan</v>
          </cell>
          <cell r="N65" t="str">
            <v>TOK</v>
          </cell>
          <cell r="R65">
            <v>72202637</v>
          </cell>
          <cell r="AU65" t="str">
            <v>Strategi 2</v>
          </cell>
        </row>
        <row r="66">
          <cell r="I66">
            <v>46113</v>
          </cell>
          <cell r="L66" t="str">
            <v>Program Berjalan</v>
          </cell>
          <cell r="N66" t="str">
            <v>TOK</v>
          </cell>
          <cell r="R66">
            <v>437623061</v>
          </cell>
          <cell r="AU66" t="str">
            <v>Strategi 2</v>
          </cell>
        </row>
        <row r="67">
          <cell r="I67">
            <v>46113</v>
          </cell>
          <cell r="L67" t="str">
            <v>Cancel</v>
          </cell>
          <cell r="R67">
            <v>666195366</v>
          </cell>
        </row>
        <row r="68">
          <cell r="I68">
            <v>46113</v>
          </cell>
          <cell r="L68" t="str">
            <v>Cancel</v>
          </cell>
          <cell r="R68">
            <v>169308555</v>
          </cell>
        </row>
        <row r="69">
          <cell r="I69">
            <v>46113</v>
          </cell>
          <cell r="L69" t="str">
            <v>Program Berjalan</v>
          </cell>
          <cell r="N69" t="str">
            <v>TOK</v>
          </cell>
          <cell r="R69">
            <v>164199941</v>
          </cell>
          <cell r="AU69" t="str">
            <v>Strategi 2</v>
          </cell>
        </row>
        <row r="70">
          <cell r="I70">
            <v>46113</v>
          </cell>
          <cell r="L70" t="str">
            <v>Program Berjalan</v>
          </cell>
          <cell r="N70" t="str">
            <v>TOK</v>
          </cell>
          <cell r="R70">
            <v>378764012</v>
          </cell>
          <cell r="AU70" t="str">
            <v>Strategi 2</v>
          </cell>
        </row>
        <row r="71">
          <cell r="I71">
            <v>46113</v>
          </cell>
          <cell r="L71" t="str">
            <v>Cancel</v>
          </cell>
          <cell r="R71">
            <v>350767311</v>
          </cell>
        </row>
        <row r="72">
          <cell r="I72">
            <v>46113</v>
          </cell>
          <cell r="L72" t="str">
            <v>Program Berjalan</v>
          </cell>
          <cell r="N72" t="str">
            <v>TOK</v>
          </cell>
          <cell r="R72">
            <v>821435276</v>
          </cell>
          <cell r="AU72" t="str">
            <v>Strategi 2</v>
          </cell>
        </row>
        <row r="73">
          <cell r="I73">
            <v>46113</v>
          </cell>
          <cell r="L73" t="str">
            <v>Program Berjalan</v>
          </cell>
          <cell r="N73" t="str">
            <v>TOK</v>
          </cell>
          <cell r="R73">
            <v>185447130</v>
          </cell>
          <cell r="AU73" t="str">
            <v>Strategi 2</v>
          </cell>
        </row>
        <row r="74">
          <cell r="I74">
            <v>46113</v>
          </cell>
          <cell r="L74" t="str">
            <v>Cancel</v>
          </cell>
          <cell r="R74">
            <v>494486767</v>
          </cell>
        </row>
        <row r="75">
          <cell r="I75">
            <v>46113</v>
          </cell>
          <cell r="L75" t="str">
            <v>Program Berjalan</v>
          </cell>
          <cell r="N75" t="str">
            <v>TOK +90 Hari</v>
          </cell>
          <cell r="R75">
            <v>436559818</v>
          </cell>
          <cell r="AU75" t="str">
            <v>Strategi 3</v>
          </cell>
        </row>
        <row r="76">
          <cell r="I76">
            <v>46113</v>
          </cell>
          <cell r="L76" t="str">
            <v>Program Berjalan</v>
          </cell>
          <cell r="N76" t="str">
            <v>TOK</v>
          </cell>
          <cell r="R76">
            <v>2860910583</v>
          </cell>
          <cell r="AU76" t="str">
            <v>Strategi 2</v>
          </cell>
        </row>
        <row r="77">
          <cell r="I77">
            <v>46113</v>
          </cell>
          <cell r="L77" t="str">
            <v>Program Berjalan</v>
          </cell>
          <cell r="N77" t="str">
            <v>TOK</v>
          </cell>
          <cell r="R77">
            <v>141544432</v>
          </cell>
          <cell r="AU77" t="str">
            <v>Strategi 2</v>
          </cell>
        </row>
        <row r="78">
          <cell r="I78">
            <v>46113</v>
          </cell>
          <cell r="L78" t="str">
            <v>Program Berjalan</v>
          </cell>
          <cell r="N78" t="str">
            <v>TOK</v>
          </cell>
          <cell r="R78">
            <v>162803600</v>
          </cell>
          <cell r="AU78" t="str">
            <v>Strategi 2</v>
          </cell>
        </row>
        <row r="79">
          <cell r="I79">
            <v>46113</v>
          </cell>
          <cell r="L79" t="str">
            <v>Program Berjalan</v>
          </cell>
          <cell r="N79" t="str">
            <v>TOK</v>
          </cell>
          <cell r="R79">
            <v>140641205</v>
          </cell>
          <cell r="AU79" t="str">
            <v>Strategi 2</v>
          </cell>
        </row>
        <row r="80">
          <cell r="I80">
            <v>46113</v>
          </cell>
          <cell r="L80" t="str">
            <v>Program Berjalan</v>
          </cell>
          <cell r="N80" t="str">
            <v>TOK</v>
          </cell>
          <cell r="R80">
            <v>430999438</v>
          </cell>
          <cell r="AU80" t="str">
            <v>Strategi 2</v>
          </cell>
        </row>
        <row r="81">
          <cell r="I81">
            <v>46113</v>
          </cell>
          <cell r="L81" t="str">
            <v>Cancel</v>
          </cell>
          <cell r="R81">
            <v>122770834</v>
          </cell>
        </row>
        <row r="82">
          <cell r="I82">
            <v>46113</v>
          </cell>
          <cell r="L82" t="str">
            <v>Cancel</v>
          </cell>
          <cell r="R82">
            <v>121146186</v>
          </cell>
        </row>
        <row r="83">
          <cell r="I83">
            <v>46113</v>
          </cell>
          <cell r="L83" t="str">
            <v>Cancel</v>
          </cell>
          <cell r="R83">
            <v>116864008</v>
          </cell>
        </row>
        <row r="84">
          <cell r="I84">
            <v>46113</v>
          </cell>
          <cell r="L84" t="str">
            <v>Program Berjalan</v>
          </cell>
          <cell r="N84" t="str">
            <v>TOK +90 Hari</v>
          </cell>
          <cell r="R84">
            <v>422044898</v>
          </cell>
          <cell r="AU84" t="str">
            <v>Strategi 3</v>
          </cell>
        </row>
        <row r="85">
          <cell r="I85">
            <v>46113</v>
          </cell>
          <cell r="L85" t="str">
            <v>Program Berjalan</v>
          </cell>
          <cell r="N85" t="str">
            <v>TOK</v>
          </cell>
          <cell r="R85">
            <v>2772012955</v>
          </cell>
          <cell r="AU85" t="str">
            <v>Strategi 2</v>
          </cell>
        </row>
        <row r="86">
          <cell r="I86">
            <v>46113</v>
          </cell>
          <cell r="L86" t="str">
            <v>Cancel</v>
          </cell>
          <cell r="R86">
            <v>183891050</v>
          </cell>
        </row>
        <row r="87">
          <cell r="I87">
            <v>46113</v>
          </cell>
          <cell r="L87" t="str">
            <v>Cancel</v>
          </cell>
          <cell r="R87">
            <v>270314452</v>
          </cell>
          <cell r="AU87" t="str">
            <v>Strategi 3</v>
          </cell>
        </row>
        <row r="88">
          <cell r="I88">
            <v>46113</v>
          </cell>
          <cell r="L88" t="str">
            <v>Program Berjalan</v>
          </cell>
          <cell r="N88" t="str">
            <v>TOK +90 Hari</v>
          </cell>
          <cell r="R88">
            <v>574183224</v>
          </cell>
          <cell r="AU88" t="str">
            <v>Strategi 2</v>
          </cell>
        </row>
        <row r="89">
          <cell r="I89">
            <v>46113</v>
          </cell>
          <cell r="L89" t="str">
            <v>Cancel</v>
          </cell>
          <cell r="R89">
            <v>214319720</v>
          </cell>
        </row>
        <row r="90">
          <cell r="I90">
            <v>46113</v>
          </cell>
          <cell r="L90" t="str">
            <v>Program Berjalan</v>
          </cell>
          <cell r="N90" t="str">
            <v>TOK +90 Hari</v>
          </cell>
          <cell r="R90">
            <v>451317929</v>
          </cell>
          <cell r="AU90" t="str">
            <v>Strategi 3</v>
          </cell>
        </row>
        <row r="91">
          <cell r="I91">
            <v>46113</v>
          </cell>
          <cell r="L91" t="str">
            <v>Program Berjalan</v>
          </cell>
          <cell r="N91" t="str">
            <v>TOK +90 Hari</v>
          </cell>
          <cell r="R91">
            <v>20589661159</v>
          </cell>
          <cell r="AU91" t="str">
            <v>Strategi 3</v>
          </cell>
        </row>
        <row r="92">
          <cell r="I92">
            <v>46113</v>
          </cell>
          <cell r="L92" t="str">
            <v>Program Berjalan</v>
          </cell>
          <cell r="N92" t="str">
            <v>TOK +90 Hari</v>
          </cell>
          <cell r="R92">
            <v>90555389652</v>
          </cell>
          <cell r="AU92" t="str">
            <v>Strategi 3</v>
          </cell>
        </row>
        <row r="93">
          <cell r="I93">
            <v>46113</v>
          </cell>
          <cell r="L93" t="str">
            <v>Program Berjalan</v>
          </cell>
          <cell r="N93" t="str">
            <v>TOK</v>
          </cell>
          <cell r="R93">
            <v>505488651</v>
          </cell>
          <cell r="AU93" t="str">
            <v>Strategi 2</v>
          </cell>
        </row>
        <row r="94">
          <cell r="I94">
            <v>46113</v>
          </cell>
          <cell r="L94" t="str">
            <v>Cancel</v>
          </cell>
          <cell r="R94">
            <v>12075777390</v>
          </cell>
        </row>
        <row r="95">
          <cell r="I95">
            <v>46113</v>
          </cell>
          <cell r="L95" t="str">
            <v>Program Berjalan</v>
          </cell>
          <cell r="N95" t="str">
            <v>TOK +90 Hari</v>
          </cell>
          <cell r="R95">
            <v>18074312563</v>
          </cell>
          <cell r="AU95" t="str">
            <v>Strategi 3</v>
          </cell>
        </row>
        <row r="96">
          <cell r="I96">
            <v>46113</v>
          </cell>
          <cell r="L96" t="str">
            <v>Program Berjalan</v>
          </cell>
          <cell r="N96" t="str">
            <v>TOK +90 Hari</v>
          </cell>
          <cell r="R96">
            <v>2502693494</v>
          </cell>
          <cell r="AU96" t="str">
            <v>Strategi 3</v>
          </cell>
        </row>
        <row r="97">
          <cell r="I97">
            <v>46113</v>
          </cell>
          <cell r="L97" t="str">
            <v>Program Berjalan</v>
          </cell>
          <cell r="N97" t="str">
            <v>TOK +90 Hari</v>
          </cell>
          <cell r="R97">
            <v>494384995</v>
          </cell>
          <cell r="AU97" t="str">
            <v>Strategi 3</v>
          </cell>
        </row>
        <row r="98">
          <cell r="I98">
            <v>46113</v>
          </cell>
          <cell r="L98" t="str">
            <v>Program Berjalan</v>
          </cell>
          <cell r="N98" t="str">
            <v>TOK</v>
          </cell>
          <cell r="R98">
            <v>491752264</v>
          </cell>
          <cell r="AU98" t="str">
            <v>Strategi 2</v>
          </cell>
        </row>
        <row r="99">
          <cell r="I99">
            <v>46113</v>
          </cell>
          <cell r="L99" t="str">
            <v>Cancel</v>
          </cell>
          <cell r="R99">
            <v>213781927</v>
          </cell>
        </row>
        <row r="100">
          <cell r="I100">
            <v>46113</v>
          </cell>
          <cell r="L100" t="str">
            <v>Cancel</v>
          </cell>
          <cell r="R100">
            <v>279758479</v>
          </cell>
          <cell r="AU100" t="str">
            <v>Strategi 3</v>
          </cell>
        </row>
        <row r="101">
          <cell r="I101">
            <v>46113</v>
          </cell>
          <cell r="L101" t="str">
            <v>Program Berjalan</v>
          </cell>
          <cell r="N101" t="str">
            <v>TOK +90 Hari</v>
          </cell>
          <cell r="R101">
            <v>235332171</v>
          </cell>
          <cell r="AU101" t="str">
            <v>Strategi 2</v>
          </cell>
        </row>
        <row r="102">
          <cell r="I102">
            <v>46113</v>
          </cell>
          <cell r="L102" t="str">
            <v>Program Berjalan</v>
          </cell>
          <cell r="N102" t="str">
            <v>TOK</v>
          </cell>
          <cell r="R102">
            <v>119843593</v>
          </cell>
          <cell r="AU102" t="str">
            <v>Strategi 2</v>
          </cell>
        </row>
        <row r="103">
          <cell r="I103">
            <v>46113</v>
          </cell>
          <cell r="L103" t="str">
            <v>Program Berjalan</v>
          </cell>
          <cell r="N103" t="str">
            <v>TOK +90 Hari</v>
          </cell>
          <cell r="R103">
            <v>1960724806</v>
          </cell>
          <cell r="AU103" t="str">
            <v>Strategi 3</v>
          </cell>
        </row>
        <row r="104">
          <cell r="I104">
            <v>46113</v>
          </cell>
          <cell r="L104" t="str">
            <v>Program Berjalan</v>
          </cell>
          <cell r="N104" t="str">
            <v>TOK +90 Hari</v>
          </cell>
          <cell r="R104">
            <v>104448245</v>
          </cell>
          <cell r="AU104" t="str">
            <v>Strategi 3</v>
          </cell>
        </row>
        <row r="105">
          <cell r="I105">
            <v>46113</v>
          </cell>
          <cell r="L105" t="str">
            <v>Program Berjalan</v>
          </cell>
          <cell r="N105" t="str">
            <v>TOK</v>
          </cell>
          <cell r="R105">
            <v>4182131005</v>
          </cell>
          <cell r="AU105" t="str">
            <v>Strategi 2</v>
          </cell>
        </row>
        <row r="106">
          <cell r="I106">
            <v>46113</v>
          </cell>
          <cell r="L106" t="str">
            <v>Program Berjalan</v>
          </cell>
          <cell r="N106" t="str">
            <v>TOK</v>
          </cell>
          <cell r="R106">
            <v>1011832705</v>
          </cell>
          <cell r="AU106" t="str">
            <v>Strategi 2</v>
          </cell>
        </row>
        <row r="107">
          <cell r="I107">
            <v>46113</v>
          </cell>
          <cell r="L107" t="str">
            <v>Program Berjalan</v>
          </cell>
          <cell r="N107" t="str">
            <v>TOK +90 Hari</v>
          </cell>
          <cell r="R107">
            <v>216965733</v>
          </cell>
          <cell r="AU107" t="str">
            <v>Strategi 3</v>
          </cell>
        </row>
        <row r="108">
          <cell r="I108">
            <v>46113</v>
          </cell>
          <cell r="L108" t="str">
            <v>Program Berjalan</v>
          </cell>
          <cell r="N108" t="str">
            <v>TOK</v>
          </cell>
          <cell r="R108">
            <v>996536617</v>
          </cell>
          <cell r="AU108" t="str">
            <v>Strategi 2</v>
          </cell>
        </row>
        <row r="109">
          <cell r="I109">
            <v>46113</v>
          </cell>
          <cell r="L109" t="str">
            <v>Program Berjalan</v>
          </cell>
          <cell r="N109" t="str">
            <v>TOK</v>
          </cell>
          <cell r="R109">
            <v>433691056</v>
          </cell>
          <cell r="AU109" t="str">
            <v>Strategi 2</v>
          </cell>
        </row>
        <row r="110">
          <cell r="I110">
            <v>46113</v>
          </cell>
          <cell r="L110" t="str">
            <v>Program Berjalan</v>
          </cell>
          <cell r="N110" t="str">
            <v>TOK</v>
          </cell>
          <cell r="R110">
            <v>76222944</v>
          </cell>
          <cell r="AU110" t="str">
            <v>Strategi 2</v>
          </cell>
        </row>
        <row r="111">
          <cell r="I111">
            <v>46113</v>
          </cell>
          <cell r="L111" t="str">
            <v>Program Berjalan</v>
          </cell>
          <cell r="N111" t="str">
            <v>TOK</v>
          </cell>
          <cell r="R111">
            <v>457998021</v>
          </cell>
          <cell r="AU111" t="str">
            <v>Strategi 2</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MK"/>
      <sheetName val="Review"/>
      <sheetName val="Summary PR PO GR"/>
      <sheetName val="Exsum Apr 26"/>
      <sheetName val="Monitoring BIM April 2026"/>
      <sheetName val="Tree Apr 26"/>
      <sheetName val="Tree Okt 26"/>
    </sheetNames>
    <sheetDataSet>
      <sheetData sheetId="0">
        <row r="237">
          <cell r="E237" t="str">
            <v>NPP23BURP01A</v>
          </cell>
          <cell r="W237">
            <v>2107.5</v>
          </cell>
        </row>
        <row r="238">
          <cell r="E238" t="str">
            <v>NPP23BURP06</v>
          </cell>
          <cell r="W238">
            <v>2183.6999999999998</v>
          </cell>
        </row>
        <row r="239">
          <cell r="E239" t="str">
            <v>NPP23BURP11</v>
          </cell>
          <cell r="W239">
            <v>539</v>
          </cell>
        </row>
        <row r="240">
          <cell r="E240" t="str">
            <v>NPP23BURP12</v>
          </cell>
          <cell r="W240">
            <v>3046.4</v>
          </cell>
        </row>
        <row r="241">
          <cell r="E241" t="str">
            <v>NPP23BURS02</v>
          </cell>
          <cell r="W241">
            <v>2066</v>
          </cell>
        </row>
        <row r="242">
          <cell r="E242" t="str">
            <v>24ABJ.NINBUR145</v>
          </cell>
          <cell r="W242">
            <v>5464.5</v>
          </cell>
        </row>
        <row r="243">
          <cell r="E243" t="str">
            <v>24ABJ.NINBUR156</v>
          </cell>
          <cell r="W243">
            <v>555</v>
          </cell>
        </row>
        <row r="244">
          <cell r="E244" t="str">
            <v>24ABJ.NINBUR161JPEZ1</v>
          </cell>
          <cell r="W244">
            <v>1782.4</v>
          </cell>
        </row>
        <row r="245">
          <cell r="E245" t="str">
            <v>24ABJ.NINBUR161JPEZ2</v>
          </cell>
          <cell r="W245">
            <v>12707.3</v>
          </cell>
        </row>
        <row r="246">
          <cell r="E246" t="str">
            <v>24ABJ.NINBUR161JPEZ3</v>
          </cell>
          <cell r="W246">
            <v>11374.7</v>
          </cell>
        </row>
        <row r="247">
          <cell r="E247" t="str">
            <v>24ABJ.NINBUR161JPEZ4</v>
          </cell>
          <cell r="W247">
            <v>19084</v>
          </cell>
        </row>
        <row r="248">
          <cell r="E248" t="str">
            <v>24ABJ.NINBUR161JPEZ6</v>
          </cell>
          <cell r="W248">
            <v>19069</v>
          </cell>
        </row>
        <row r="249">
          <cell r="E249" t="str">
            <v>24ABJ.NINBUR161JPEZ7</v>
          </cell>
          <cell r="W249">
            <v>6819</v>
          </cell>
        </row>
        <row r="250">
          <cell r="E250" t="str">
            <v>24ABJ.NINBUR161JPEZ8</v>
          </cell>
          <cell r="W250">
            <v>16945</v>
          </cell>
        </row>
        <row r="251">
          <cell r="E251" t="str">
            <v>24ABJ.NINBUR161JPEZ11</v>
          </cell>
          <cell r="W251">
            <v>5835</v>
          </cell>
        </row>
        <row r="252">
          <cell r="E252" t="str">
            <v>24ABJ.NINBUR161JPEZ12</v>
          </cell>
          <cell r="W252">
            <v>10600</v>
          </cell>
        </row>
        <row r="253">
          <cell r="E253" t="str">
            <v>24ABJ.NPPBUR161JP</v>
          </cell>
          <cell r="W253">
            <v>4653</v>
          </cell>
        </row>
        <row r="254">
          <cell r="E254" t="str">
            <v>25ABJ.NINBUR162.11JP</v>
          </cell>
          <cell r="W254">
            <v>634.5</v>
          </cell>
        </row>
        <row r="255">
          <cell r="E255" t="str">
            <v>24ABJ.NINBUR162.2JP</v>
          </cell>
          <cell r="W255">
            <v>546</v>
          </cell>
        </row>
        <row r="256">
          <cell r="E256" t="str">
            <v>24ABJ.NINBUR162.3JP</v>
          </cell>
          <cell r="W256">
            <v>978.9</v>
          </cell>
        </row>
        <row r="257">
          <cell r="E257" t="str">
            <v>25ABJ.NINBUR163.1JR</v>
          </cell>
          <cell r="W257">
            <v>484.8</v>
          </cell>
        </row>
        <row r="258">
          <cell r="E258" t="str">
            <v>23ABJ.NINBUR163.2JP</v>
          </cell>
          <cell r="W258">
            <v>9898</v>
          </cell>
        </row>
        <row r="259">
          <cell r="E259" t="str">
            <v>24ABJ.NINBUR163.3JP</v>
          </cell>
          <cell r="W259">
            <v>823</v>
          </cell>
        </row>
        <row r="260">
          <cell r="E260" t="str">
            <v>25ABJ.NINBUR161.1JP</v>
          </cell>
          <cell r="W260">
            <v>102</v>
          </cell>
        </row>
        <row r="261">
          <cell r="E261" t="str">
            <v>25ABJ.NINJT069R1</v>
          </cell>
          <cell r="W261">
            <v>33.799999999999997</v>
          </cell>
        </row>
        <row r="262">
          <cell r="E262" t="str">
            <v>24ABJ.NPPJTCLW010JR</v>
          </cell>
          <cell r="W262">
            <v>4149</v>
          </cell>
        </row>
        <row r="263">
          <cell r="E263" t="str">
            <v>24ABJ.NPPJTCLW011JR</v>
          </cell>
          <cell r="W263">
            <v>630</v>
          </cell>
        </row>
        <row r="264">
          <cell r="E264" t="str">
            <v>24ABJ.NPPJTCLW010.1JR</v>
          </cell>
          <cell r="W264">
            <v>1</v>
          </cell>
        </row>
        <row r="265">
          <cell r="E265" t="str">
            <v>24ABJ.NPPJTCLW010.2JR</v>
          </cell>
          <cell r="W265">
            <v>1</v>
          </cell>
        </row>
        <row r="266">
          <cell r="E266" t="str">
            <v>24ABJ.NINJTS011CLW.01JR</v>
          </cell>
          <cell r="W266">
            <v>5983</v>
          </cell>
        </row>
        <row r="267">
          <cell r="E267" t="str">
            <v>24ABJ.NINJTS011CLW.02JR</v>
          </cell>
          <cell r="W267">
            <v>10078</v>
          </cell>
        </row>
        <row r="268">
          <cell r="E268" t="str">
            <v>24ABJ.NINJTS011CLW.03JR</v>
          </cell>
          <cell r="W268">
            <v>6670.2</v>
          </cell>
        </row>
        <row r="269">
          <cell r="E269" t="str">
            <v>24ABJ.NINJTS011CLW.04JR</v>
          </cell>
          <cell r="W269">
            <v>12710</v>
          </cell>
        </row>
        <row r="270">
          <cell r="E270" t="str">
            <v>24ABJ.NINJTS001CLW.04JR</v>
          </cell>
          <cell r="W270">
            <v>3672</v>
          </cell>
        </row>
        <row r="271">
          <cell r="E271" t="str">
            <v>24ABJ.NINJT087.1JR</v>
          </cell>
          <cell r="W271">
            <v>0</v>
          </cell>
        </row>
        <row r="272">
          <cell r="E272" t="str">
            <v>24ABJ.NINJTS001.5JR</v>
          </cell>
          <cell r="W272">
            <v>53.8</v>
          </cell>
        </row>
        <row r="273">
          <cell r="E273" t="str">
            <v>24ABJ.NINJTS001.4JR</v>
          </cell>
          <cell r="W273">
            <v>11159</v>
          </cell>
        </row>
        <row r="274">
          <cell r="E274" t="str">
            <v>24ABJ.NINJT068.3JR</v>
          </cell>
          <cell r="W274">
            <v>0</v>
          </cell>
        </row>
        <row r="275">
          <cell r="E275" t="str">
            <v>24ABJ.NINJT068.4JR</v>
          </cell>
          <cell r="W275">
            <v>94.7</v>
          </cell>
        </row>
        <row r="276">
          <cell r="E276" t="str">
            <v>24ABJ.NINJTS012.1JR</v>
          </cell>
          <cell r="W276">
            <v>251</v>
          </cell>
        </row>
        <row r="277">
          <cell r="E277" t="str">
            <v>24ABJ.NINJTS001.8JR</v>
          </cell>
          <cell r="W277">
            <v>719</v>
          </cell>
        </row>
        <row r="278">
          <cell r="E278" t="str">
            <v>24ABJ.NINJTP002.2JR</v>
          </cell>
          <cell r="W278">
            <v>0</v>
          </cell>
        </row>
        <row r="279">
          <cell r="E279" t="str">
            <v>24ABJ.NINJTP001.1JR</v>
          </cell>
          <cell r="W279">
            <v>207</v>
          </cell>
        </row>
        <row r="280">
          <cell r="E280" t="str">
            <v>24ABJ.NINJT076.01JR</v>
          </cell>
          <cell r="W280">
            <v>480</v>
          </cell>
        </row>
        <row r="281">
          <cell r="E281" t="str">
            <v>24ABJ.NINJT068.5JR</v>
          </cell>
          <cell r="W281">
            <v>427</v>
          </cell>
        </row>
        <row r="282">
          <cell r="E282" t="str">
            <v>24ABJ.NINJT069.1JR</v>
          </cell>
          <cell r="W282">
            <v>0</v>
          </cell>
        </row>
        <row r="283">
          <cell r="E283" t="str">
            <v>24ABJ.NINJT068.6JR</v>
          </cell>
          <cell r="W283">
            <v>0</v>
          </cell>
        </row>
        <row r="284">
          <cell r="E284" t="str">
            <v>24ABJ.NINJTP008.11JR</v>
          </cell>
          <cell r="W284">
            <v>71</v>
          </cell>
        </row>
        <row r="285">
          <cell r="E285" t="str">
            <v>25ABJ.NINJT049.1JR</v>
          </cell>
          <cell r="W285">
            <v>90</v>
          </cell>
        </row>
        <row r="286">
          <cell r="E286" t="str">
            <v>25ABJ.NINJT054.1JR</v>
          </cell>
          <cell r="W286">
            <v>114</v>
          </cell>
        </row>
        <row r="287">
          <cell r="E287" t="str">
            <v>25ABJ.NINJTB003.1JE</v>
          </cell>
          <cell r="W287">
            <v>35</v>
          </cell>
        </row>
        <row r="288">
          <cell r="E288" t="str">
            <v>25ABJ.NINJT073.1JR</v>
          </cell>
          <cell r="W288">
            <v>489</v>
          </cell>
        </row>
        <row r="289">
          <cell r="E289" t="str">
            <v>24ABJ.NINJT096.1JR</v>
          </cell>
          <cell r="W289">
            <v>574.20000000000005</v>
          </cell>
        </row>
        <row r="290">
          <cell r="E290" t="str">
            <v>24ABJ.NINJT096.1.1JR</v>
          </cell>
          <cell r="W290">
            <v>380.5</v>
          </cell>
        </row>
        <row r="291">
          <cell r="E291" t="str">
            <v>24ABJ.NINJT095.5JR</v>
          </cell>
          <cell r="W291">
            <v>0</v>
          </cell>
        </row>
        <row r="292">
          <cell r="E292" t="str">
            <v>24ABJ.NINJT076.02JR</v>
          </cell>
          <cell r="W292">
            <v>3705.66</v>
          </cell>
        </row>
        <row r="293">
          <cell r="E293" t="str">
            <v>24ABJ.NINJT076.02.1JR</v>
          </cell>
          <cell r="W293">
            <v>314</v>
          </cell>
        </row>
        <row r="294">
          <cell r="E294" t="str">
            <v>24ABJ.NINJTP008.4JR</v>
          </cell>
          <cell r="W294">
            <v>0</v>
          </cell>
        </row>
        <row r="295">
          <cell r="E295" t="str">
            <v>24ABJ.NINJT068.2JR</v>
          </cell>
          <cell r="W295">
            <v>121.8</v>
          </cell>
        </row>
        <row r="296">
          <cell r="E296" t="str">
            <v>24ABJ.NINJTP008.14JR</v>
          </cell>
          <cell r="W296">
            <v>0</v>
          </cell>
        </row>
        <row r="297">
          <cell r="E297" t="str">
            <v>25ABJ.NINJTS010.1JR</v>
          </cell>
          <cell r="W297">
            <v>101.7</v>
          </cell>
        </row>
        <row r="298">
          <cell r="E298" t="str">
            <v>25ABJ.NINJT076.1JR</v>
          </cell>
          <cell r="W298">
            <v>50</v>
          </cell>
        </row>
        <row r="299">
          <cell r="E299" t="str">
            <v>25ABJ.NINJT078.1JR</v>
          </cell>
          <cell r="W299">
            <v>171</v>
          </cell>
        </row>
        <row r="300">
          <cell r="E300" t="str">
            <v>25ABJ.NINJT068.1JR</v>
          </cell>
          <cell r="W300">
            <v>0</v>
          </cell>
        </row>
        <row r="301">
          <cell r="E301" t="str">
            <v>25ABJ.NINJT069.1JR</v>
          </cell>
          <cell r="W301">
            <v>0</v>
          </cell>
        </row>
        <row r="302">
          <cell r="E302" t="str">
            <v>24ABJ.NINJT049.1JR</v>
          </cell>
          <cell r="W302">
            <v>83</v>
          </cell>
        </row>
        <row r="303">
          <cell r="E303" t="str">
            <v>25ABJ.NINJT054.3JR</v>
          </cell>
          <cell r="W303">
            <v>263</v>
          </cell>
        </row>
        <row r="304">
          <cell r="E304" t="str">
            <v>25ABJ.NINJT054.4JR</v>
          </cell>
          <cell r="W304">
            <v>0</v>
          </cell>
        </row>
        <row r="305">
          <cell r="E305" t="str">
            <v>25ABJ.NINJT054.5JR</v>
          </cell>
          <cell r="W305">
            <v>230</v>
          </cell>
        </row>
        <row r="306">
          <cell r="E306" t="str">
            <v>25ABJ.NINJT054.6JR</v>
          </cell>
          <cell r="W306">
            <v>94.5</v>
          </cell>
        </row>
        <row r="307">
          <cell r="E307" t="str">
            <v>25ABJ.NINJT067.1JR</v>
          </cell>
          <cell r="W307">
            <v>0</v>
          </cell>
        </row>
        <row r="308">
          <cell r="E308" t="str">
            <v>24ABJ.NINJT070.6JR</v>
          </cell>
          <cell r="W308">
            <v>262</v>
          </cell>
        </row>
        <row r="309">
          <cell r="E309" t="str">
            <v>25ABJ.NINJT054.14JR</v>
          </cell>
          <cell r="W309">
            <v>1570</v>
          </cell>
        </row>
        <row r="310">
          <cell r="E310" t="str">
            <v>25ABJ.NINJT070.2JR</v>
          </cell>
          <cell r="W310">
            <v>90</v>
          </cell>
        </row>
        <row r="311">
          <cell r="E311" t="str">
            <v>25ABJ.NINJT068.2JR</v>
          </cell>
          <cell r="W311">
            <v>89</v>
          </cell>
        </row>
        <row r="312">
          <cell r="E312" t="str">
            <v>25ABJ.NINJT071.1JR</v>
          </cell>
          <cell r="W312">
            <v>80</v>
          </cell>
        </row>
        <row r="313">
          <cell r="E313" t="str">
            <v>25ABJ.NINJTS010.2JR</v>
          </cell>
          <cell r="W313">
            <v>305</v>
          </cell>
        </row>
        <row r="314">
          <cell r="E314" t="str">
            <v>24ABJ.NINJTP008.9JR</v>
          </cell>
          <cell r="W314">
            <v>0</v>
          </cell>
        </row>
        <row r="315">
          <cell r="E315" t="str">
            <v>24ABJ.NINJT080.2JR</v>
          </cell>
          <cell r="W315">
            <v>0</v>
          </cell>
        </row>
        <row r="316">
          <cell r="E316" t="str">
            <v>24ABJ.NINJT089.1JR</v>
          </cell>
          <cell r="W316">
            <v>0</v>
          </cell>
        </row>
        <row r="317">
          <cell r="E317" t="str">
            <v>25ABJ.NINJTP004.1JR</v>
          </cell>
          <cell r="W317">
            <v>268.60000000000002</v>
          </cell>
        </row>
        <row r="318">
          <cell r="E318" t="str">
            <v>25ABJ.NINJT078.6JR</v>
          </cell>
          <cell r="W318">
            <v>1699</v>
          </cell>
        </row>
        <row r="319">
          <cell r="E319" t="str">
            <v>24ABJ.NINKARB016.JE</v>
          </cell>
          <cell r="W319">
            <v>0</v>
          </cell>
        </row>
        <row r="320">
          <cell r="E320" t="str">
            <v>24ABJ.NINKARS002.1JE</v>
          </cell>
          <cell r="W320">
            <v>0</v>
          </cell>
        </row>
        <row r="321">
          <cell r="E321" t="str">
            <v>24ABJ.NINKARB006.10JE</v>
          </cell>
          <cell r="W321">
            <v>431</v>
          </cell>
        </row>
        <row r="322">
          <cell r="E322" t="str">
            <v>25ABJ.NINKARS017.1JR</v>
          </cell>
          <cell r="W322">
            <v>0</v>
          </cell>
        </row>
        <row r="323">
          <cell r="E323" t="str">
            <v>24ABJ.NINKARBN00.1JE</v>
          </cell>
          <cell r="W323">
            <v>715</v>
          </cell>
        </row>
        <row r="324">
          <cell r="E324" t="str">
            <v>24ABJ.NINKARBN02.1JE</v>
          </cell>
          <cell r="W324">
            <v>10434</v>
          </cell>
        </row>
        <row r="325">
          <cell r="E325" t="str">
            <v>23ABJ.NPPKAR036JE</v>
          </cell>
          <cell r="W325">
            <v>6393</v>
          </cell>
        </row>
        <row r="326">
          <cell r="E326" t="str">
            <v>25ABJ.NINKARB020.4JE</v>
          </cell>
          <cell r="W326">
            <v>275</v>
          </cell>
        </row>
        <row r="327">
          <cell r="E327" t="str">
            <v>25ABJ.NINKARB020.1JE</v>
          </cell>
          <cell r="W327">
            <v>0</v>
          </cell>
        </row>
        <row r="328">
          <cell r="E328" t="str">
            <v>25ABJ.NINKARB020.2JE</v>
          </cell>
          <cell r="W328">
            <v>4568</v>
          </cell>
        </row>
        <row r="329">
          <cell r="E329" t="str">
            <v>25ABJ.NINKARB020.3JE</v>
          </cell>
          <cell r="W329">
            <v>1189</v>
          </cell>
        </row>
        <row r="330">
          <cell r="E330" t="str">
            <v>24ABJ.NINKARB006.6JE</v>
          </cell>
          <cell r="W330">
            <v>350</v>
          </cell>
        </row>
        <row r="331">
          <cell r="E331" t="str">
            <v>24ABJ.NINKARB016.7JE</v>
          </cell>
          <cell r="W331">
            <v>200</v>
          </cell>
        </row>
        <row r="332">
          <cell r="E332" t="str">
            <v>24ABJ.NINKARB020.19JE</v>
          </cell>
          <cell r="W332">
            <v>0</v>
          </cell>
        </row>
        <row r="333">
          <cell r="E333" t="str">
            <v>24ABJ.NINKARB019.17JE</v>
          </cell>
          <cell r="W333">
            <v>0</v>
          </cell>
        </row>
        <row r="334">
          <cell r="E334" t="str">
            <v>25ABJ.NINKARB006.1JE</v>
          </cell>
          <cell r="W334">
            <v>174</v>
          </cell>
        </row>
        <row r="335">
          <cell r="E335" t="str">
            <v>25ABJ.NINKARS006.1JE</v>
          </cell>
          <cell r="W335">
            <v>54</v>
          </cell>
        </row>
        <row r="336">
          <cell r="E336" t="str">
            <v>25ABJ.NINKARSN01.1JE</v>
          </cell>
          <cell r="W336">
            <v>569</v>
          </cell>
        </row>
        <row r="337">
          <cell r="E337" t="str">
            <v>23ABJ.NPPKAR036JE.1</v>
          </cell>
          <cell r="W337">
            <v>1</v>
          </cell>
        </row>
        <row r="338">
          <cell r="E338" t="str">
            <v>25ABJ.NINKARSN02.3JE</v>
          </cell>
          <cell r="W338">
            <v>2396</v>
          </cell>
        </row>
        <row r="339">
          <cell r="E339" t="str">
            <v>24ABJ.NINKARS017.1JE</v>
          </cell>
          <cell r="W339">
            <v>527</v>
          </cell>
        </row>
        <row r="340">
          <cell r="E340" t="str">
            <v>25ABJ.NINKARS002.1JE</v>
          </cell>
          <cell r="W340">
            <v>1</v>
          </cell>
        </row>
        <row r="341">
          <cell r="E341" t="str">
            <v>25ABJ.NINKARB020.18JE</v>
          </cell>
          <cell r="W341">
            <v>856</v>
          </cell>
        </row>
        <row r="342">
          <cell r="E342" t="str">
            <v>25ABJ.NINKARB018.1JE</v>
          </cell>
          <cell r="W342">
            <v>310</v>
          </cell>
        </row>
        <row r="343">
          <cell r="E343" t="str">
            <v>25ABJ.NINKARS017.3JE</v>
          </cell>
          <cell r="W343">
            <v>39</v>
          </cell>
        </row>
        <row r="344">
          <cell r="E344" t="str">
            <v>25ABJ.NINKARB014.1JE</v>
          </cell>
          <cell r="W344">
            <v>403</v>
          </cell>
        </row>
      </sheetData>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Indradi Kridiasto" id="{4E74C0FF-4269-A449-8B08-C8502D30EC9F}" userId="d08144d28462779f"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5" dT="2026-05-19T07:56:16.78" personId="{4E74C0FF-4269-A449-8B08-C8502D30EC9F}" id="{79A1C6D7-729C-E14B-A6A3-9B799C4B6802}">
    <text>Buat sebagai target dan aktual pelaksanaan:
Hydrotest: xx Mei 2026 (done xxx/05)
Flushing: 19 Mei 2026
 (done xxx/o5)
Tescom: 25 Mei 2026
MC-100:  1 Juni 2026
DPPP:  8 Juni 2026</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36C7-5BCE-4A6E-A8A4-303C40667357}">
  <dimension ref="B2:W29"/>
  <sheetViews>
    <sheetView zoomScale="50" zoomScaleNormal="34" workbookViewId="0">
      <pane xSplit="6" ySplit="3" topLeftCell="G4" activePane="bottomRight" state="frozen"/>
      <selection pane="topRight" activeCell="G1" sqref="G1"/>
      <selection pane="bottomLeft" activeCell="A4" sqref="A4"/>
      <selection pane="bottomRight" activeCell="A3" sqref="A3:XFD3"/>
    </sheetView>
  </sheetViews>
  <sheetFormatPr defaultColWidth="8.77734375" defaultRowHeight="15" customHeight="1" x14ac:dyDescent="0.6"/>
  <cols>
    <col min="1" max="1" width="8.77734375" style="25"/>
    <col min="2" max="2" width="9" style="26" bestFit="1" customWidth="1"/>
    <col min="3" max="3" width="29.109375" style="25" customWidth="1"/>
    <col min="4" max="4" width="14.77734375" style="25" customWidth="1"/>
    <col min="5" max="5" width="32.21875" style="28" customWidth="1"/>
    <col min="6" max="6" width="26.5546875" style="25" customWidth="1"/>
    <col min="7" max="7" width="44.33203125" style="25" customWidth="1"/>
    <col min="8" max="8" width="18.77734375" style="25" customWidth="1"/>
    <col min="9" max="9" width="20.77734375" style="25" customWidth="1"/>
    <col min="10" max="10" width="17.44140625" style="25" customWidth="1"/>
    <col min="11" max="11" width="20.21875" style="25" customWidth="1"/>
    <col min="12" max="12" width="20.77734375" style="25" customWidth="1"/>
    <col min="13" max="13" width="23.88671875" style="25" customWidth="1"/>
    <col min="14" max="14" width="146.21875" style="25" customWidth="1"/>
    <col min="15" max="15" width="124.33203125" style="25" customWidth="1"/>
    <col min="16" max="16" width="61.21875" style="25" customWidth="1"/>
    <col min="17" max="17" width="30.21875" style="25" customWidth="1"/>
    <col min="18" max="18" width="50.5546875" style="25" customWidth="1"/>
    <col min="19" max="19" width="26" style="25" customWidth="1"/>
    <col min="20" max="20" width="25.77734375" style="25" bestFit="1" customWidth="1"/>
    <col min="21" max="16384" width="8.77734375" style="25"/>
  </cols>
  <sheetData>
    <row r="2" spans="2:20" ht="45" customHeight="1" x14ac:dyDescent="0.6">
      <c r="C2" s="25">
        <f>SUBTOTAL(3,C4:C28)</f>
        <v>25</v>
      </c>
      <c r="H2" s="127">
        <f>SUBTOTAL(9,H4:H28)</f>
        <v>211601</v>
      </c>
      <c r="I2" s="127">
        <f>SUBTOTAL(9,I4:I28)</f>
        <v>173955.9</v>
      </c>
      <c r="J2" s="127">
        <f>SUBTOTAL(9,J4:J28)</f>
        <v>17096.3</v>
      </c>
      <c r="K2" s="128">
        <f>I2/H2</f>
        <v>0.8220939409549104</v>
      </c>
    </row>
    <row r="3" spans="2:20" ht="98.55" customHeight="1" x14ac:dyDescent="0.6">
      <c r="B3" s="27" t="s">
        <v>0</v>
      </c>
      <c r="C3" s="27" t="s">
        <v>1</v>
      </c>
      <c r="D3" s="81" t="s">
        <v>2</v>
      </c>
      <c r="E3" s="29" t="s">
        <v>3</v>
      </c>
      <c r="F3" s="27" t="s">
        <v>4</v>
      </c>
      <c r="G3" s="29" t="s">
        <v>5</v>
      </c>
      <c r="H3" s="29" t="s">
        <v>7</v>
      </c>
      <c r="I3" s="29" t="s">
        <v>8</v>
      </c>
      <c r="J3" s="29" t="s">
        <v>9</v>
      </c>
      <c r="K3" s="29" t="s">
        <v>10</v>
      </c>
      <c r="L3" s="29" t="s">
        <v>11</v>
      </c>
      <c r="M3" s="29" t="s">
        <v>6</v>
      </c>
      <c r="N3" s="29" t="s">
        <v>205</v>
      </c>
      <c r="O3" s="29" t="s">
        <v>13</v>
      </c>
      <c r="P3" s="29" t="s">
        <v>15</v>
      </c>
      <c r="Q3" s="30" t="s">
        <v>206</v>
      </c>
      <c r="R3" s="29" t="s">
        <v>207</v>
      </c>
      <c r="S3" s="29" t="s">
        <v>208</v>
      </c>
    </row>
    <row r="4" spans="2:20" s="31" customFormat="1" ht="262.95" customHeight="1" x14ac:dyDescent="0.3">
      <c r="B4" s="32">
        <v>1</v>
      </c>
      <c r="C4" s="33" t="s">
        <v>209</v>
      </c>
      <c r="D4" s="82" t="s">
        <v>64</v>
      </c>
      <c r="E4" s="40" t="s">
        <v>210</v>
      </c>
      <c r="F4" s="33" t="s">
        <v>211</v>
      </c>
      <c r="G4" s="126">
        <v>12052931314</v>
      </c>
      <c r="H4" s="41">
        <v>6200</v>
      </c>
      <c r="I4" s="41">
        <v>2571</v>
      </c>
      <c r="J4" s="48"/>
      <c r="K4" s="83">
        <v>1</v>
      </c>
      <c r="L4" s="50" t="s">
        <v>71</v>
      </c>
      <c r="M4" s="50" t="s">
        <v>146</v>
      </c>
      <c r="N4" s="33" t="s">
        <v>212</v>
      </c>
      <c r="O4" s="33" t="s">
        <v>605</v>
      </c>
      <c r="P4" s="33" t="s">
        <v>525</v>
      </c>
      <c r="Q4" s="84">
        <v>46001</v>
      </c>
      <c r="R4" s="66">
        <v>45655</v>
      </c>
      <c r="S4" s="33">
        <f>R4-Q4</f>
        <v>-346</v>
      </c>
      <c r="T4" s="31">
        <f>SUBTOTAL(9,B4:P4)</f>
        <v>12052940087</v>
      </c>
    </row>
    <row r="5" spans="2:20" s="31" customFormat="1" ht="262.95" customHeight="1" x14ac:dyDescent="0.3">
      <c r="B5" s="32">
        <v>1</v>
      </c>
      <c r="C5" s="33" t="s">
        <v>209</v>
      </c>
      <c r="D5" s="85" t="s">
        <v>64</v>
      </c>
      <c r="E5" s="40" t="s">
        <v>213</v>
      </c>
      <c r="F5" s="33" t="s">
        <v>214</v>
      </c>
      <c r="G5" s="126">
        <v>30619040271</v>
      </c>
      <c r="H5" s="41">
        <v>16606</v>
      </c>
      <c r="I5" s="41">
        <v>8710</v>
      </c>
      <c r="J5" s="48"/>
      <c r="K5" s="83">
        <v>1</v>
      </c>
      <c r="L5" s="50" t="s">
        <v>71</v>
      </c>
      <c r="M5" s="50" t="s">
        <v>14</v>
      </c>
      <c r="N5" s="33" t="s">
        <v>215</v>
      </c>
      <c r="O5" s="33" t="s">
        <v>223</v>
      </c>
      <c r="P5" s="33" t="s">
        <v>488</v>
      </c>
      <c r="Q5" s="84">
        <v>46119</v>
      </c>
      <c r="R5" s="66">
        <v>45655</v>
      </c>
      <c r="S5" s="33">
        <f t="shared" ref="S5:S28" si="0">R5-Q5</f>
        <v>-464</v>
      </c>
      <c r="T5" s="31">
        <f>SUBTOTAL(9,B5:P5)</f>
        <v>30619065589</v>
      </c>
    </row>
    <row r="6" spans="2:20" s="31" customFormat="1" ht="274.05" customHeight="1" x14ac:dyDescent="0.3">
      <c r="B6" s="32">
        <v>2</v>
      </c>
      <c r="C6" s="33" t="s">
        <v>209</v>
      </c>
      <c r="D6" s="85" t="s">
        <v>64</v>
      </c>
      <c r="E6" s="40" t="s">
        <v>216</v>
      </c>
      <c r="F6" s="33" t="s">
        <v>217</v>
      </c>
      <c r="G6" s="126">
        <v>43012410077</v>
      </c>
      <c r="H6" s="41">
        <v>22228</v>
      </c>
      <c r="I6" s="41">
        <v>12914</v>
      </c>
      <c r="J6" s="48"/>
      <c r="K6" s="83">
        <v>1</v>
      </c>
      <c r="L6" s="50" t="s">
        <v>71</v>
      </c>
      <c r="M6" s="50" t="s">
        <v>146</v>
      </c>
      <c r="N6" s="33" t="s">
        <v>218</v>
      </c>
      <c r="O6" s="33" t="s">
        <v>605</v>
      </c>
      <c r="P6" s="33" t="s">
        <v>525</v>
      </c>
      <c r="Q6" s="84">
        <v>46093</v>
      </c>
      <c r="R6" s="66">
        <v>45655</v>
      </c>
      <c r="S6" s="33">
        <f t="shared" si="0"/>
        <v>-438</v>
      </c>
      <c r="T6" s="31">
        <f>SUBTOTAL(9,B6:P6)</f>
        <v>43012445222</v>
      </c>
    </row>
    <row r="7" spans="2:20" s="31" customFormat="1" ht="408.45" customHeight="1" x14ac:dyDescent="0.3">
      <c r="B7" s="36">
        <v>1</v>
      </c>
      <c r="C7" s="37" t="s">
        <v>219</v>
      </c>
      <c r="D7" s="41" t="s">
        <v>47</v>
      </c>
      <c r="E7" s="44" t="s">
        <v>220</v>
      </c>
      <c r="F7" s="37" t="s">
        <v>221</v>
      </c>
      <c r="G7" s="126">
        <v>257573804579</v>
      </c>
      <c r="H7" s="45">
        <v>3460</v>
      </c>
      <c r="I7" s="88">
        <v>3738.5</v>
      </c>
      <c r="J7" s="48"/>
      <c r="K7" s="89">
        <v>1</v>
      </c>
      <c r="L7" s="55" t="s">
        <v>51</v>
      </c>
      <c r="M7" s="90" t="s">
        <v>14</v>
      </c>
      <c r="N7" s="91" t="s">
        <v>222</v>
      </c>
      <c r="O7" s="86" t="s">
        <v>223</v>
      </c>
      <c r="P7" s="86" t="s">
        <v>223</v>
      </c>
      <c r="Q7" s="84">
        <v>46001</v>
      </c>
      <c r="R7" s="66">
        <v>45774</v>
      </c>
      <c r="S7" s="33">
        <f t="shared" si="0"/>
        <v>-227</v>
      </c>
      <c r="T7" s="31">
        <f>SUBTOTAL(9,B7:P7)</f>
        <v>257573811779.5</v>
      </c>
    </row>
    <row r="8" spans="2:20" s="31" customFormat="1" ht="383.55" customHeight="1" x14ac:dyDescent="0.3">
      <c r="B8" s="32" t="s">
        <v>517</v>
      </c>
      <c r="C8" s="33" t="s">
        <v>219</v>
      </c>
      <c r="D8" s="41" t="s">
        <v>47</v>
      </c>
      <c r="E8" s="33" t="s">
        <v>224</v>
      </c>
      <c r="F8" s="33" t="s">
        <v>225</v>
      </c>
      <c r="G8" s="126">
        <v>108549343103</v>
      </c>
      <c r="H8" s="41">
        <v>2000</v>
      </c>
      <c r="I8" s="41">
        <v>1868.7</v>
      </c>
      <c r="J8" s="48">
        <f t="shared" ref="J8:J28" si="1">H8-I8</f>
        <v>131.29999999999995</v>
      </c>
      <c r="K8" s="49">
        <f>I8/H8</f>
        <v>0.93435000000000001</v>
      </c>
      <c r="L8" s="50" t="s">
        <v>51</v>
      </c>
      <c r="M8" s="92" t="s">
        <v>50</v>
      </c>
      <c r="N8" s="33" t="s">
        <v>226</v>
      </c>
      <c r="O8" s="93" t="s">
        <v>575</v>
      </c>
      <c r="P8" s="93" t="s">
        <v>509</v>
      </c>
      <c r="Q8" s="71">
        <v>45866</v>
      </c>
      <c r="R8" s="71">
        <v>45774</v>
      </c>
      <c r="S8" s="72">
        <f t="shared" si="0"/>
        <v>-92</v>
      </c>
      <c r="T8" s="31">
        <f>SUBTOTAL(9,B8:P8)</f>
        <v>108549347103.93436</v>
      </c>
    </row>
    <row r="9" spans="2:20" s="31" customFormat="1" ht="408.45" customHeight="1" x14ac:dyDescent="0.3">
      <c r="B9" s="32">
        <v>2</v>
      </c>
      <c r="C9" s="33" t="s">
        <v>219</v>
      </c>
      <c r="D9" s="41" t="s">
        <v>47</v>
      </c>
      <c r="E9" s="33" t="s">
        <v>227</v>
      </c>
      <c r="F9" s="33" t="s">
        <v>228</v>
      </c>
      <c r="G9" s="126">
        <v>256222695433</v>
      </c>
      <c r="H9" s="41">
        <v>4922</v>
      </c>
      <c r="I9" s="41">
        <v>3981</v>
      </c>
      <c r="J9" s="48">
        <f t="shared" si="1"/>
        <v>941</v>
      </c>
      <c r="K9" s="49">
        <f>I9/H9</f>
        <v>0.8088175538399025</v>
      </c>
      <c r="L9" s="50" t="s">
        <v>51</v>
      </c>
      <c r="M9" s="50" t="s">
        <v>50</v>
      </c>
      <c r="N9" s="94" t="s">
        <v>229</v>
      </c>
      <c r="O9" s="33" t="s">
        <v>574</v>
      </c>
      <c r="P9" s="33" t="s">
        <v>295</v>
      </c>
      <c r="Q9" s="66">
        <v>45874</v>
      </c>
      <c r="R9" s="66">
        <v>45774</v>
      </c>
      <c r="S9" s="33">
        <f t="shared" si="0"/>
        <v>-100</v>
      </c>
      <c r="T9" s="31">
        <f>SUBTOTAL(9,B9:P9)</f>
        <v>256222705279.80881</v>
      </c>
    </row>
    <row r="10" spans="2:20" s="31" customFormat="1" ht="383.55" customHeight="1" x14ac:dyDescent="0.3">
      <c r="B10" s="32">
        <v>2</v>
      </c>
      <c r="C10" s="33" t="s">
        <v>219</v>
      </c>
      <c r="D10" s="41" t="s">
        <v>47</v>
      </c>
      <c r="E10" s="40" t="s">
        <v>230</v>
      </c>
      <c r="F10" s="33" t="s">
        <v>231</v>
      </c>
      <c r="G10" s="126">
        <v>24912861367</v>
      </c>
      <c r="H10" s="41">
        <v>2150</v>
      </c>
      <c r="I10" s="41">
        <v>2162.6999999999998</v>
      </c>
      <c r="J10" s="48"/>
      <c r="K10" s="83">
        <v>1</v>
      </c>
      <c r="L10" s="50" t="s">
        <v>51</v>
      </c>
      <c r="M10" s="50" t="s">
        <v>14</v>
      </c>
      <c r="N10" s="95" t="s">
        <v>232</v>
      </c>
      <c r="O10" s="86" t="s">
        <v>223</v>
      </c>
      <c r="P10" s="93" t="s">
        <v>223</v>
      </c>
      <c r="Q10" s="96">
        <v>46001</v>
      </c>
      <c r="R10" s="96">
        <v>45774</v>
      </c>
      <c r="S10" s="97">
        <f t="shared" si="0"/>
        <v>-227</v>
      </c>
      <c r="T10" s="31">
        <f>SUBTOTAL(9,B10:P10)</f>
        <v>24912865682.700001</v>
      </c>
    </row>
    <row r="11" spans="2:20" s="31" customFormat="1" ht="199.05" customHeight="1" x14ac:dyDescent="0.3">
      <c r="B11" s="32">
        <v>3</v>
      </c>
      <c r="C11" s="33" t="s">
        <v>219</v>
      </c>
      <c r="D11" s="41" t="s">
        <v>64</v>
      </c>
      <c r="E11" s="33" t="s">
        <v>233</v>
      </c>
      <c r="F11" s="33" t="s">
        <v>234</v>
      </c>
      <c r="G11" s="126">
        <v>13743779767</v>
      </c>
      <c r="H11" s="41">
        <v>14805</v>
      </c>
      <c r="I11" s="41">
        <v>8393</v>
      </c>
      <c r="J11" s="48">
        <f t="shared" si="1"/>
        <v>6412</v>
      </c>
      <c r="K11" s="49">
        <f>I11/H11</f>
        <v>0.56690307328605205</v>
      </c>
      <c r="L11" s="50" t="s">
        <v>153</v>
      </c>
      <c r="M11" s="50" t="s">
        <v>50</v>
      </c>
      <c r="N11" s="94" t="s">
        <v>235</v>
      </c>
      <c r="O11" s="33" t="s">
        <v>606</v>
      </c>
      <c r="P11" s="33" t="s">
        <v>510</v>
      </c>
      <c r="Q11" s="66">
        <v>45537</v>
      </c>
      <c r="R11" s="66">
        <v>45438</v>
      </c>
      <c r="S11" s="33">
        <f t="shared" si="0"/>
        <v>-99</v>
      </c>
      <c r="T11" s="31">
        <f>SUBTOTAL(9,B11:P11)</f>
        <v>13743809380.566902</v>
      </c>
    </row>
    <row r="12" spans="2:20" s="31" customFormat="1" ht="226.5" customHeight="1" x14ac:dyDescent="0.3">
      <c r="B12" s="32">
        <v>4</v>
      </c>
      <c r="C12" s="33" t="s">
        <v>219</v>
      </c>
      <c r="D12" s="41" t="s">
        <v>64</v>
      </c>
      <c r="E12" s="33" t="s">
        <v>236</v>
      </c>
      <c r="F12" s="33" t="s">
        <v>237</v>
      </c>
      <c r="G12" s="126">
        <v>15754484146</v>
      </c>
      <c r="H12" s="41">
        <v>18447</v>
      </c>
      <c r="I12" s="41">
        <v>18446</v>
      </c>
      <c r="J12" s="48"/>
      <c r="K12" s="49">
        <v>0.98</v>
      </c>
      <c r="L12" s="50" t="s">
        <v>71</v>
      </c>
      <c r="M12" s="50" t="s">
        <v>50</v>
      </c>
      <c r="N12" s="94" t="s">
        <v>238</v>
      </c>
      <c r="O12" s="33" t="s">
        <v>607</v>
      </c>
      <c r="P12" s="33" t="s">
        <v>511</v>
      </c>
      <c r="Q12" s="66">
        <v>45936</v>
      </c>
      <c r="R12" s="66">
        <v>45655</v>
      </c>
      <c r="S12" s="33">
        <f t="shared" si="0"/>
        <v>-281</v>
      </c>
      <c r="T12" s="31">
        <f>SUBTOTAL(9,B12:P12)</f>
        <v>15754521043.98</v>
      </c>
    </row>
    <row r="13" spans="2:20" s="31" customFormat="1" ht="209.55" customHeight="1" x14ac:dyDescent="0.3">
      <c r="B13" s="32">
        <v>5</v>
      </c>
      <c r="C13" s="33" t="s">
        <v>219</v>
      </c>
      <c r="D13" s="41" t="s">
        <v>64</v>
      </c>
      <c r="E13" s="33" t="s">
        <v>239</v>
      </c>
      <c r="F13" s="33" t="s">
        <v>240</v>
      </c>
      <c r="G13" s="126">
        <v>24006962850</v>
      </c>
      <c r="H13" s="41">
        <v>27576</v>
      </c>
      <c r="I13" s="41">
        <v>28540</v>
      </c>
      <c r="J13" s="48">
        <f t="shared" si="1"/>
        <v>-964</v>
      </c>
      <c r="K13" s="49">
        <v>0.98</v>
      </c>
      <c r="L13" s="50" t="s">
        <v>71</v>
      </c>
      <c r="M13" s="50" t="s">
        <v>50</v>
      </c>
      <c r="N13" s="94" t="s">
        <v>241</v>
      </c>
      <c r="O13" s="33" t="s">
        <v>608</v>
      </c>
      <c r="P13" s="33" t="s">
        <v>512</v>
      </c>
      <c r="Q13" s="66">
        <v>45936</v>
      </c>
      <c r="R13" s="66">
        <v>45655</v>
      </c>
      <c r="S13" s="33">
        <f t="shared" si="0"/>
        <v>-281</v>
      </c>
      <c r="T13" s="31">
        <f>SUBTOTAL(9,B13:P13)</f>
        <v>24007018007.98</v>
      </c>
    </row>
    <row r="14" spans="2:20" s="31" customFormat="1" ht="168.45" customHeight="1" x14ac:dyDescent="0.3">
      <c r="B14" s="32">
        <v>1</v>
      </c>
      <c r="C14" s="33" t="s">
        <v>219</v>
      </c>
      <c r="D14" s="41" t="s">
        <v>64</v>
      </c>
      <c r="E14" s="33" t="s">
        <v>242</v>
      </c>
      <c r="F14" s="33" t="s">
        <v>243</v>
      </c>
      <c r="G14" s="126">
        <v>20690040334</v>
      </c>
      <c r="H14" s="41">
        <v>15593</v>
      </c>
      <c r="I14" s="41">
        <v>14577</v>
      </c>
      <c r="J14" s="48">
        <f t="shared" si="1"/>
        <v>1016</v>
      </c>
      <c r="K14" s="49">
        <f>I14/H14</f>
        <v>0.93484255755787848</v>
      </c>
      <c r="L14" s="50" t="s">
        <v>71</v>
      </c>
      <c r="M14" s="50" t="s">
        <v>50</v>
      </c>
      <c r="N14" s="94" t="s">
        <v>244</v>
      </c>
      <c r="O14" s="98" t="s">
        <v>496</v>
      </c>
      <c r="P14" s="33" t="s">
        <v>513</v>
      </c>
      <c r="Q14" s="66">
        <v>46034</v>
      </c>
      <c r="R14" s="66">
        <v>45774</v>
      </c>
      <c r="S14" s="33">
        <f t="shared" si="0"/>
        <v>-260</v>
      </c>
      <c r="T14" s="31">
        <f>SUBTOTAL(9,B14:P14)</f>
        <v>20690071521.934841</v>
      </c>
    </row>
    <row r="15" spans="2:20" s="31" customFormat="1" ht="179.55" customHeight="1" x14ac:dyDescent="0.3">
      <c r="B15" s="32">
        <v>6</v>
      </c>
      <c r="C15" s="33" t="s">
        <v>219</v>
      </c>
      <c r="D15" s="41" t="s">
        <v>64</v>
      </c>
      <c r="E15" s="33" t="s">
        <v>245</v>
      </c>
      <c r="F15" s="33" t="s">
        <v>246</v>
      </c>
      <c r="G15" s="126">
        <v>30601272392</v>
      </c>
      <c r="H15" s="41">
        <v>20735</v>
      </c>
      <c r="I15" s="41">
        <v>21356</v>
      </c>
      <c r="J15" s="48">
        <f t="shared" si="1"/>
        <v>-621</v>
      </c>
      <c r="K15" s="83">
        <v>1</v>
      </c>
      <c r="L15" s="50" t="s">
        <v>71</v>
      </c>
      <c r="M15" s="50" t="s">
        <v>50</v>
      </c>
      <c r="N15" s="94" t="s">
        <v>247</v>
      </c>
      <c r="O15" s="33" t="s">
        <v>497</v>
      </c>
      <c r="P15" s="33" t="s">
        <v>514</v>
      </c>
      <c r="Q15" s="66">
        <v>46022</v>
      </c>
      <c r="R15" s="66">
        <v>45774</v>
      </c>
      <c r="S15" s="33">
        <f t="shared" si="0"/>
        <v>-248</v>
      </c>
      <c r="T15" s="31">
        <f>SUBTOTAL(9,B15:P15)</f>
        <v>30601313869</v>
      </c>
    </row>
    <row r="16" spans="2:20" s="31" customFormat="1" ht="187.05" customHeight="1" x14ac:dyDescent="0.3">
      <c r="B16" s="32">
        <v>7</v>
      </c>
      <c r="C16" s="33" t="s">
        <v>219</v>
      </c>
      <c r="D16" s="41" t="s">
        <v>64</v>
      </c>
      <c r="E16" s="33" t="s">
        <v>248</v>
      </c>
      <c r="F16" s="33" t="s">
        <v>249</v>
      </c>
      <c r="G16" s="126">
        <v>36201016557</v>
      </c>
      <c r="H16" s="41">
        <v>23924</v>
      </c>
      <c r="I16" s="41">
        <v>22072</v>
      </c>
      <c r="J16" s="48">
        <f t="shared" si="1"/>
        <v>1852</v>
      </c>
      <c r="K16" s="49">
        <f t="shared" ref="K16:K22" si="2">I16/H16</f>
        <v>0.92258819595385388</v>
      </c>
      <c r="L16" s="50" t="s">
        <v>71</v>
      </c>
      <c r="M16" s="50" t="s">
        <v>50</v>
      </c>
      <c r="N16" s="99" t="s">
        <v>250</v>
      </c>
      <c r="O16" s="33" t="s">
        <v>609</v>
      </c>
      <c r="P16" s="33" t="s">
        <v>514</v>
      </c>
      <c r="Q16" s="66">
        <v>46153</v>
      </c>
      <c r="R16" s="66">
        <v>45774</v>
      </c>
      <c r="S16" s="33">
        <f t="shared" si="0"/>
        <v>-379</v>
      </c>
      <c r="T16" s="31">
        <f>SUBTOTAL(9,B16:P16)</f>
        <v>36201064412.922585</v>
      </c>
    </row>
    <row r="17" spans="2:20" s="31" customFormat="1" ht="219" customHeight="1" x14ac:dyDescent="0.3">
      <c r="B17" s="32">
        <v>8</v>
      </c>
      <c r="C17" s="33" t="s">
        <v>219</v>
      </c>
      <c r="D17" s="41" t="s">
        <v>64</v>
      </c>
      <c r="E17" s="33" t="s">
        <v>251</v>
      </c>
      <c r="F17" s="33" t="s">
        <v>252</v>
      </c>
      <c r="G17" s="126">
        <v>17451066715</v>
      </c>
      <c r="H17" s="41">
        <v>11115</v>
      </c>
      <c r="I17" s="41">
        <v>7537</v>
      </c>
      <c r="J17" s="48">
        <f t="shared" si="1"/>
        <v>3578</v>
      </c>
      <c r="K17" s="49">
        <f t="shared" si="2"/>
        <v>0.67809266756635178</v>
      </c>
      <c r="L17" s="50" t="s">
        <v>51</v>
      </c>
      <c r="M17" s="50" t="s">
        <v>50</v>
      </c>
      <c r="N17" s="94" t="s">
        <v>253</v>
      </c>
      <c r="O17" s="100" t="s">
        <v>610</v>
      </c>
      <c r="P17" s="33" t="s">
        <v>515</v>
      </c>
      <c r="Q17" s="66">
        <v>46029</v>
      </c>
      <c r="R17" s="66">
        <v>45774</v>
      </c>
      <c r="S17" s="33">
        <f t="shared" si="0"/>
        <v>-255</v>
      </c>
      <c r="T17" s="31">
        <f>SUBTOTAL(9,B17:P17)</f>
        <v>17451088953.678093</v>
      </c>
    </row>
    <row r="18" spans="2:20" s="31" customFormat="1" ht="148.94999999999999" customHeight="1" x14ac:dyDescent="0.3">
      <c r="B18" s="32">
        <v>9</v>
      </c>
      <c r="C18" s="33" t="s">
        <v>219</v>
      </c>
      <c r="D18" s="41" t="s">
        <v>64</v>
      </c>
      <c r="E18" s="33" t="s">
        <v>254</v>
      </c>
      <c r="F18" s="33" t="s">
        <v>255</v>
      </c>
      <c r="G18" s="126">
        <v>7446330080</v>
      </c>
      <c r="H18" s="41">
        <v>5175</v>
      </c>
      <c r="I18" s="41">
        <v>4866</v>
      </c>
      <c r="J18" s="48">
        <f t="shared" si="1"/>
        <v>309</v>
      </c>
      <c r="K18" s="49">
        <f t="shared" si="2"/>
        <v>0.94028985507246376</v>
      </c>
      <c r="L18" s="50" t="s">
        <v>51</v>
      </c>
      <c r="M18" s="50" t="s">
        <v>50</v>
      </c>
      <c r="N18" s="101" t="s">
        <v>256</v>
      </c>
      <c r="O18" s="98" t="s">
        <v>611</v>
      </c>
      <c r="P18" s="33" t="s">
        <v>490</v>
      </c>
      <c r="Q18" s="66">
        <v>46041</v>
      </c>
      <c r="R18" s="66">
        <v>45774</v>
      </c>
      <c r="S18" s="33">
        <f t="shared" si="0"/>
        <v>-267</v>
      </c>
      <c r="T18" s="31">
        <f>SUBTOTAL(9,B18:P18)</f>
        <v>7446340439.9402895</v>
      </c>
    </row>
    <row r="19" spans="2:20" s="31" customFormat="1" ht="332.55" customHeight="1" x14ac:dyDescent="0.3">
      <c r="B19" s="32">
        <v>10</v>
      </c>
      <c r="C19" s="33" t="s">
        <v>219</v>
      </c>
      <c r="D19" s="41" t="s">
        <v>64</v>
      </c>
      <c r="E19" s="33" t="s">
        <v>257</v>
      </c>
      <c r="F19" s="33" t="s">
        <v>258</v>
      </c>
      <c r="G19" s="126">
        <v>24621055414</v>
      </c>
      <c r="H19" s="41">
        <v>15118</v>
      </c>
      <c r="I19" s="41">
        <v>12000</v>
      </c>
      <c r="J19" s="48">
        <f t="shared" si="1"/>
        <v>3118</v>
      </c>
      <c r="K19" s="49">
        <f t="shared" si="2"/>
        <v>0.79375578780261935</v>
      </c>
      <c r="L19" s="50" t="s">
        <v>51</v>
      </c>
      <c r="M19" s="50" t="s">
        <v>50</v>
      </c>
      <c r="N19" s="99" t="s">
        <v>259</v>
      </c>
      <c r="O19" s="33" t="s">
        <v>500</v>
      </c>
      <c r="P19" s="33" t="s">
        <v>516</v>
      </c>
      <c r="Q19" s="66">
        <v>46041</v>
      </c>
      <c r="R19" s="66">
        <v>45774</v>
      </c>
      <c r="S19" s="33">
        <f t="shared" si="0"/>
        <v>-267</v>
      </c>
      <c r="T19" s="31">
        <f>SUBTOTAL(9,B19:P19)</f>
        <v>24621085660.793755</v>
      </c>
    </row>
    <row r="20" spans="2:20" s="31" customFormat="1" ht="330.45" customHeight="1" x14ac:dyDescent="0.3">
      <c r="B20" s="32">
        <v>1</v>
      </c>
      <c r="C20" s="33" t="s">
        <v>260</v>
      </c>
      <c r="D20" s="41" t="s">
        <v>64</v>
      </c>
      <c r="E20" s="40" t="s">
        <v>261</v>
      </c>
      <c r="F20" s="33" t="s">
        <v>262</v>
      </c>
      <c r="G20" s="126">
        <v>1195589587</v>
      </c>
      <c r="H20" s="41">
        <v>1</v>
      </c>
      <c r="I20" s="41">
        <v>0</v>
      </c>
      <c r="J20" s="48">
        <f t="shared" si="1"/>
        <v>1</v>
      </c>
      <c r="K20" s="49">
        <f t="shared" si="2"/>
        <v>0</v>
      </c>
      <c r="L20" s="50" t="s">
        <v>263</v>
      </c>
      <c r="M20" s="50" t="s">
        <v>50</v>
      </c>
      <c r="N20" s="98" t="s">
        <v>264</v>
      </c>
      <c r="O20" s="60" t="s">
        <v>518</v>
      </c>
      <c r="P20" s="60" t="s">
        <v>502</v>
      </c>
      <c r="Q20" s="61">
        <v>46113</v>
      </c>
      <c r="R20" s="62">
        <v>45837</v>
      </c>
      <c r="S20" s="63">
        <f t="shared" si="0"/>
        <v>-276</v>
      </c>
      <c r="T20" s="31">
        <f>SUBTOTAL(9,B20:P20)</f>
        <v>1195589590</v>
      </c>
    </row>
    <row r="21" spans="2:20" s="31" customFormat="1" ht="157.5" customHeight="1" x14ac:dyDescent="0.3">
      <c r="B21" s="34">
        <v>1</v>
      </c>
      <c r="C21" s="35" t="s">
        <v>260</v>
      </c>
      <c r="D21" s="43" t="s">
        <v>64</v>
      </c>
      <c r="E21" s="42" t="s">
        <v>265</v>
      </c>
      <c r="F21" s="35" t="s">
        <v>266</v>
      </c>
      <c r="G21" s="126">
        <v>972118820</v>
      </c>
      <c r="H21" s="43">
        <v>1</v>
      </c>
      <c r="I21" s="41">
        <v>0</v>
      </c>
      <c r="J21" s="48">
        <f t="shared" si="1"/>
        <v>1</v>
      </c>
      <c r="K21" s="51">
        <f t="shared" si="2"/>
        <v>0</v>
      </c>
      <c r="L21" s="52" t="s">
        <v>263</v>
      </c>
      <c r="M21" s="53" t="s">
        <v>267</v>
      </c>
      <c r="N21" s="64" t="s">
        <v>268</v>
      </c>
      <c r="O21" s="65" t="s">
        <v>267</v>
      </c>
      <c r="P21" s="65" t="s">
        <v>267</v>
      </c>
      <c r="Q21" s="66">
        <v>46113</v>
      </c>
      <c r="R21" s="66">
        <v>45837</v>
      </c>
      <c r="S21" s="33">
        <f t="shared" si="0"/>
        <v>-276</v>
      </c>
      <c r="T21" s="31">
        <f>SUBTOTAL(9,B21:P21)</f>
        <v>972118823</v>
      </c>
    </row>
    <row r="22" spans="2:20" s="31" customFormat="1" ht="280.5" customHeight="1" x14ac:dyDescent="0.3">
      <c r="B22" s="32">
        <v>2</v>
      </c>
      <c r="C22" s="33" t="s">
        <v>260</v>
      </c>
      <c r="D22" s="41" t="s">
        <v>64</v>
      </c>
      <c r="E22" s="40" t="s">
        <v>269</v>
      </c>
      <c r="F22" s="33" t="s">
        <v>270</v>
      </c>
      <c r="G22" s="126">
        <v>4768013341</v>
      </c>
      <c r="H22" s="41">
        <v>1</v>
      </c>
      <c r="I22" s="41">
        <v>1</v>
      </c>
      <c r="J22" s="48">
        <f t="shared" si="1"/>
        <v>0</v>
      </c>
      <c r="K22" s="49">
        <f t="shared" si="2"/>
        <v>1</v>
      </c>
      <c r="L22" s="50" t="s">
        <v>263</v>
      </c>
      <c r="M22" s="50" t="s">
        <v>50</v>
      </c>
      <c r="N22" s="33" t="s">
        <v>271</v>
      </c>
      <c r="O22" s="33" t="s">
        <v>519</v>
      </c>
      <c r="P22" s="60" t="s">
        <v>502</v>
      </c>
      <c r="Q22" s="67">
        <v>46142</v>
      </c>
      <c r="R22" s="68">
        <v>45837</v>
      </c>
      <c r="S22" s="69">
        <f t="shared" si="0"/>
        <v>-305</v>
      </c>
      <c r="T22" s="31">
        <f>SUBTOTAL(9,B22:P22)</f>
        <v>4768013346</v>
      </c>
    </row>
    <row r="23" spans="2:20" s="31" customFormat="1" ht="339.45" customHeight="1" x14ac:dyDescent="0.3">
      <c r="B23" s="36">
        <v>1</v>
      </c>
      <c r="C23" s="37" t="s">
        <v>260</v>
      </c>
      <c r="D23" s="45" t="s">
        <v>64</v>
      </c>
      <c r="E23" s="44" t="s">
        <v>272</v>
      </c>
      <c r="F23" s="37" t="s">
        <v>273</v>
      </c>
      <c r="G23" s="126">
        <v>2595445749</v>
      </c>
      <c r="H23" s="45">
        <v>1</v>
      </c>
      <c r="I23" s="41">
        <v>0</v>
      </c>
      <c r="J23" s="48">
        <f t="shared" si="1"/>
        <v>1</v>
      </c>
      <c r="K23" s="54">
        <v>1</v>
      </c>
      <c r="L23" s="55" t="s">
        <v>263</v>
      </c>
      <c r="M23" s="55" t="s">
        <v>146</v>
      </c>
      <c r="N23" s="37" t="s">
        <v>274</v>
      </c>
      <c r="O23" s="33" t="s">
        <v>520</v>
      </c>
      <c r="P23" s="60" t="s">
        <v>503</v>
      </c>
      <c r="Q23" s="68">
        <v>46142</v>
      </c>
      <c r="R23" s="68">
        <v>45837</v>
      </c>
      <c r="S23" s="69">
        <f t="shared" si="0"/>
        <v>-305</v>
      </c>
      <c r="T23" s="31">
        <f>SUBTOTAL(9,B23:P23)</f>
        <v>2595445753</v>
      </c>
    </row>
    <row r="24" spans="2:20" s="31" customFormat="1" ht="393" customHeight="1" x14ac:dyDescent="0.3">
      <c r="B24" s="32">
        <v>3</v>
      </c>
      <c r="C24" s="33" t="s">
        <v>260</v>
      </c>
      <c r="D24" s="41" t="s">
        <v>64</v>
      </c>
      <c r="E24" s="40" t="s">
        <v>275</v>
      </c>
      <c r="F24" s="33" t="s">
        <v>276</v>
      </c>
      <c r="G24" s="126">
        <v>3921389066</v>
      </c>
      <c r="H24" s="41">
        <v>1</v>
      </c>
      <c r="I24" s="41">
        <v>1</v>
      </c>
      <c r="J24" s="48">
        <f t="shared" si="1"/>
        <v>0</v>
      </c>
      <c r="K24" s="49">
        <f>I24/H24</f>
        <v>1</v>
      </c>
      <c r="L24" s="50" t="s">
        <v>263</v>
      </c>
      <c r="M24" s="50" t="s">
        <v>50</v>
      </c>
      <c r="N24" s="33" t="s">
        <v>271</v>
      </c>
      <c r="O24" s="60" t="s">
        <v>521</v>
      </c>
      <c r="P24" s="60" t="s">
        <v>502</v>
      </c>
      <c r="Q24" s="67">
        <v>46112</v>
      </c>
      <c r="R24" s="68">
        <v>45837</v>
      </c>
      <c r="S24" s="69">
        <f t="shared" si="0"/>
        <v>-275</v>
      </c>
    </row>
    <row r="25" spans="2:20" s="31" customFormat="1" ht="330.45" customHeight="1" x14ac:dyDescent="0.3">
      <c r="B25" s="32">
        <v>4</v>
      </c>
      <c r="C25" s="33" t="s">
        <v>260</v>
      </c>
      <c r="D25" s="41" t="s">
        <v>64</v>
      </c>
      <c r="E25" s="40" t="s">
        <v>277</v>
      </c>
      <c r="F25" s="33" t="s">
        <v>278</v>
      </c>
      <c r="G25" s="126">
        <v>3393020513</v>
      </c>
      <c r="H25" s="41">
        <v>1</v>
      </c>
      <c r="I25" s="41">
        <v>1</v>
      </c>
      <c r="J25" s="48">
        <f t="shared" si="1"/>
        <v>0</v>
      </c>
      <c r="K25" s="49">
        <f>I25/H25</f>
        <v>1</v>
      </c>
      <c r="L25" s="50" t="s">
        <v>263</v>
      </c>
      <c r="M25" s="50" t="s">
        <v>50</v>
      </c>
      <c r="N25" s="33" t="s">
        <v>279</v>
      </c>
      <c r="O25" s="129" t="s">
        <v>522</v>
      </c>
      <c r="P25" s="60" t="s">
        <v>502</v>
      </c>
      <c r="Q25" s="67">
        <v>46112</v>
      </c>
      <c r="R25" s="68">
        <v>45837</v>
      </c>
      <c r="S25" s="69">
        <f t="shared" si="0"/>
        <v>-275</v>
      </c>
    </row>
    <row r="26" spans="2:20" s="31" customFormat="1" ht="144.75" customHeight="1" x14ac:dyDescent="0.3">
      <c r="B26" s="34">
        <v>2</v>
      </c>
      <c r="C26" s="35" t="s">
        <v>260</v>
      </c>
      <c r="D26" s="43" t="s">
        <v>64</v>
      </c>
      <c r="E26" s="42" t="s">
        <v>280</v>
      </c>
      <c r="F26" s="35" t="s">
        <v>281</v>
      </c>
      <c r="G26" s="126">
        <v>1243463102</v>
      </c>
      <c r="H26" s="43">
        <v>465</v>
      </c>
      <c r="I26" s="41">
        <v>0</v>
      </c>
      <c r="J26" s="48">
        <f t="shared" si="1"/>
        <v>465</v>
      </c>
      <c r="K26" s="51">
        <f>I26/H26</f>
        <v>0</v>
      </c>
      <c r="L26" s="52" t="s">
        <v>51</v>
      </c>
      <c r="M26" s="52" t="s">
        <v>267</v>
      </c>
      <c r="N26" s="56" t="s">
        <v>282</v>
      </c>
      <c r="O26" s="65" t="s">
        <v>267</v>
      </c>
      <c r="P26" s="65" t="s">
        <v>267</v>
      </c>
      <c r="Q26" s="66">
        <v>46113</v>
      </c>
      <c r="R26" s="66">
        <v>45865</v>
      </c>
      <c r="S26" s="33">
        <f t="shared" si="0"/>
        <v>-248</v>
      </c>
    </row>
    <row r="27" spans="2:20" s="31" customFormat="1" ht="155.55000000000001" customHeight="1" x14ac:dyDescent="0.3">
      <c r="B27" s="38">
        <v>3</v>
      </c>
      <c r="C27" s="39" t="s">
        <v>260</v>
      </c>
      <c r="D27" s="47" t="s">
        <v>64</v>
      </c>
      <c r="E27" s="46" t="s">
        <v>283</v>
      </c>
      <c r="F27" s="39" t="s">
        <v>284</v>
      </c>
      <c r="G27" s="126">
        <v>1682806890</v>
      </c>
      <c r="H27" s="47">
        <v>856</v>
      </c>
      <c r="I27" s="41">
        <v>0</v>
      </c>
      <c r="J27" s="48">
        <f t="shared" si="1"/>
        <v>856</v>
      </c>
      <c r="K27" s="57">
        <f>I27/H27</f>
        <v>0</v>
      </c>
      <c r="L27" s="58" t="s">
        <v>51</v>
      </c>
      <c r="M27" s="58" t="s">
        <v>267</v>
      </c>
      <c r="N27" s="59" t="s">
        <v>282</v>
      </c>
      <c r="O27" s="65" t="s">
        <v>267</v>
      </c>
      <c r="P27" s="70" t="s">
        <v>267</v>
      </c>
      <c r="Q27" s="71">
        <v>46113</v>
      </c>
      <c r="R27" s="71">
        <v>45865</v>
      </c>
      <c r="S27" s="72">
        <f t="shared" si="0"/>
        <v>-248</v>
      </c>
    </row>
    <row r="28" spans="2:20" s="31" customFormat="1" ht="163.05000000000001" customHeight="1" x14ac:dyDescent="0.3">
      <c r="B28" s="32">
        <v>11</v>
      </c>
      <c r="C28" s="33" t="s">
        <v>219</v>
      </c>
      <c r="D28" s="41" t="s">
        <v>64</v>
      </c>
      <c r="E28" s="33" t="s">
        <v>285</v>
      </c>
      <c r="F28" s="33" t="s">
        <v>286</v>
      </c>
      <c r="G28" s="126">
        <v>482167758</v>
      </c>
      <c r="H28" s="41">
        <v>220</v>
      </c>
      <c r="I28" s="41">
        <v>220</v>
      </c>
      <c r="J28" s="48">
        <f t="shared" si="1"/>
        <v>0</v>
      </c>
      <c r="K28" s="49">
        <f>I28/H28</f>
        <v>1</v>
      </c>
      <c r="L28" s="50" t="s">
        <v>51</v>
      </c>
      <c r="M28" s="50" t="s">
        <v>50</v>
      </c>
      <c r="N28" s="94" t="s">
        <v>287</v>
      </c>
      <c r="O28" s="98" t="s">
        <v>612</v>
      </c>
      <c r="P28" s="103" t="s">
        <v>489</v>
      </c>
      <c r="Q28" s="66">
        <v>46147</v>
      </c>
      <c r="R28" s="66">
        <v>45683</v>
      </c>
      <c r="S28" s="33">
        <f t="shared" si="0"/>
        <v>-464</v>
      </c>
    </row>
    <row r="29" spans="2:20" ht="40.5" customHeight="1" x14ac:dyDescent="0.6">
      <c r="B29" s="73" t="s">
        <v>204</v>
      </c>
      <c r="C29" s="74"/>
      <c r="D29" s="104"/>
      <c r="E29" s="75"/>
      <c r="F29" s="74"/>
      <c r="G29" s="76">
        <f t="shared" ref="G29:J29" si="3">SUBTOTAL(9,G4:G28)</f>
        <v>943713109225</v>
      </c>
      <c r="H29" s="76">
        <f t="shared" si="3"/>
        <v>211601</v>
      </c>
      <c r="I29" s="76">
        <f t="shared" si="3"/>
        <v>173955.9</v>
      </c>
      <c r="J29" s="76">
        <f t="shared" si="3"/>
        <v>17096.3</v>
      </c>
      <c r="K29" s="77">
        <f>(I29+J29)/H29</f>
        <v>0.90288892774608809</v>
      </c>
      <c r="L29" s="78"/>
      <c r="M29" s="78"/>
      <c r="N29" s="78"/>
      <c r="O29" s="79"/>
      <c r="P29" s="78"/>
      <c r="Q29" s="80"/>
      <c r="R29" s="78"/>
      <c r="S29" s="78"/>
    </row>
  </sheetData>
  <autoFilter ref="B3:T28" xr:uid="{CE9336C7-5BCE-4A6E-A8A4-303C40667357}"/>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883A-C7B6-48A9-A540-1074E96189A2}">
  <dimension ref="A3:Y11"/>
  <sheetViews>
    <sheetView zoomScale="47" zoomScaleNormal="85" workbookViewId="0">
      <pane xSplit="6" ySplit="3" topLeftCell="G4" activePane="bottomRight" state="frozen"/>
      <selection pane="topRight" activeCell="H27" sqref="H27"/>
      <selection pane="bottomLeft" activeCell="H27" sqref="H27"/>
      <selection pane="bottomRight" activeCell="H4" sqref="H4"/>
    </sheetView>
  </sheetViews>
  <sheetFormatPr defaultRowHeight="15" customHeight="1" x14ac:dyDescent="0.3"/>
  <cols>
    <col min="2" max="2" width="15.5546875" style="1" customWidth="1"/>
    <col min="3" max="3" width="25.21875" customWidth="1"/>
    <col min="4" max="4" width="24.88671875" customWidth="1"/>
    <col min="5" max="5" width="53.77734375" bestFit="1" customWidth="1"/>
    <col min="6" max="6" width="27.77734375" customWidth="1"/>
    <col min="7" max="7" width="38" bestFit="1" customWidth="1"/>
    <col min="8" max="8" width="15.77734375" customWidth="1"/>
    <col min="9" max="12" width="20.77734375" customWidth="1"/>
    <col min="13" max="13" width="24.5546875" customWidth="1"/>
    <col min="14" max="14" width="138.77734375" customWidth="1"/>
    <col min="15" max="15" width="127.77734375" customWidth="1"/>
    <col min="16" max="16" width="62.44140625" style="3" customWidth="1"/>
    <col min="17" max="17" width="17.5546875" hidden="1" customWidth="1"/>
  </cols>
  <sheetData>
    <row r="3" spans="1:17" ht="109.8" x14ac:dyDescent="0.35">
      <c r="A3" s="8"/>
      <c r="B3" s="11" t="s">
        <v>0</v>
      </c>
      <c r="C3" s="11" t="s">
        <v>1</v>
      </c>
      <c r="D3" s="11" t="s">
        <v>2</v>
      </c>
      <c r="E3" s="12" t="s">
        <v>3</v>
      </c>
      <c r="F3" s="11" t="s">
        <v>4</v>
      </c>
      <c r="G3" s="12" t="s">
        <v>5</v>
      </c>
      <c r="H3" s="12" t="s">
        <v>7</v>
      </c>
      <c r="I3" s="12" t="s">
        <v>8</v>
      </c>
      <c r="J3" s="12" t="s">
        <v>9</v>
      </c>
      <c r="K3" s="12" t="s">
        <v>10</v>
      </c>
      <c r="L3" s="12" t="s">
        <v>11</v>
      </c>
      <c r="M3" s="12" t="s">
        <v>6</v>
      </c>
      <c r="N3" s="12" t="s">
        <v>12</v>
      </c>
      <c r="O3" s="12" t="s">
        <v>13</v>
      </c>
      <c r="P3" s="12" t="s">
        <v>15</v>
      </c>
      <c r="Q3" s="4" t="s">
        <v>206</v>
      </c>
    </row>
    <row r="4" spans="1:17" s="2" customFormat="1" ht="408.45" customHeight="1" x14ac:dyDescent="0.3">
      <c r="A4" s="9"/>
      <c r="B4" s="13">
        <v>1</v>
      </c>
      <c r="C4" s="14" t="s">
        <v>170</v>
      </c>
      <c r="D4" s="15" t="s">
        <v>64</v>
      </c>
      <c r="E4" s="16" t="s">
        <v>288</v>
      </c>
      <c r="F4" s="14" t="s">
        <v>289</v>
      </c>
      <c r="G4" s="17">
        <v>425152292</v>
      </c>
      <c r="H4" s="15">
        <v>190</v>
      </c>
      <c r="I4" s="13">
        <v>0</v>
      </c>
      <c r="J4" s="18">
        <f>H4-I4</f>
        <v>190</v>
      </c>
      <c r="K4" s="19">
        <f>I4/H4</f>
        <v>0</v>
      </c>
      <c r="L4" s="13" t="s">
        <v>51</v>
      </c>
      <c r="M4" s="13" t="s">
        <v>111</v>
      </c>
      <c r="N4" s="20" t="s">
        <v>290</v>
      </c>
      <c r="O4" s="14" t="s">
        <v>492</v>
      </c>
      <c r="P4" s="21" t="s">
        <v>294</v>
      </c>
      <c r="Q4" s="5">
        <v>45985</v>
      </c>
    </row>
    <row r="5" spans="1:17" s="2" customFormat="1" ht="300.45" customHeight="1" x14ac:dyDescent="0.3">
      <c r="A5" s="9"/>
      <c r="B5" s="13">
        <v>2</v>
      </c>
      <c r="C5" s="14" t="s">
        <v>170</v>
      </c>
      <c r="D5" s="15" t="s">
        <v>64</v>
      </c>
      <c r="E5" s="16" t="s">
        <v>291</v>
      </c>
      <c r="F5" s="14" t="s">
        <v>292</v>
      </c>
      <c r="G5" s="17">
        <v>768397677</v>
      </c>
      <c r="H5" s="15">
        <v>450</v>
      </c>
      <c r="I5" s="13">
        <v>0</v>
      </c>
      <c r="J5" s="18">
        <f>H5-I5</f>
        <v>450</v>
      </c>
      <c r="K5" s="19">
        <f>I5/H5</f>
        <v>0</v>
      </c>
      <c r="L5" s="13" t="s">
        <v>51</v>
      </c>
      <c r="M5" s="13" t="s">
        <v>111</v>
      </c>
      <c r="N5" s="20" t="s">
        <v>293</v>
      </c>
      <c r="O5" s="14" t="s">
        <v>493</v>
      </c>
      <c r="P5" s="21" t="s">
        <v>294</v>
      </c>
      <c r="Q5" s="6">
        <v>45985</v>
      </c>
    </row>
    <row r="6" spans="1:17" ht="49.05" customHeight="1" x14ac:dyDescent="0.7">
      <c r="A6" s="8"/>
      <c r="B6" s="159" t="s">
        <v>204</v>
      </c>
      <c r="C6" s="159"/>
      <c r="D6" s="159"/>
      <c r="E6" s="159"/>
      <c r="F6" s="159"/>
      <c r="G6" s="22">
        <f>SUBTOTAL(9,G4:G5)</f>
        <v>1193549969</v>
      </c>
      <c r="H6" s="22">
        <f>SUBTOTAL(9,H4:H5)</f>
        <v>640</v>
      </c>
      <c r="I6" s="22">
        <f>SUBTOTAL(9,I4:I5)</f>
        <v>0</v>
      </c>
      <c r="J6" s="22">
        <f>SUBTOTAL(9,J4:J5)</f>
        <v>640</v>
      </c>
      <c r="K6" s="23">
        <f>I6/H6</f>
        <v>0</v>
      </c>
      <c r="L6" s="24"/>
      <c r="M6" s="24"/>
      <c r="N6" s="24"/>
      <c r="O6" s="24"/>
      <c r="P6" s="21"/>
      <c r="Q6" s="7"/>
    </row>
    <row r="9" spans="1:17" ht="14.4" x14ac:dyDescent="0.3">
      <c r="P9" s="3">
        <v>45985</v>
      </c>
    </row>
    <row r="10" spans="1:17" ht="14.4" x14ac:dyDescent="0.3">
      <c r="P10" s="3">
        <v>45705</v>
      </c>
    </row>
    <row r="11" spans="1:17" ht="14.4" x14ac:dyDescent="0.3">
      <c r="P11" s="10">
        <f>P9-P10</f>
        <v>280</v>
      </c>
    </row>
  </sheetData>
  <mergeCells count="1">
    <mergeCell ref="B6:F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4AAD-770F-4EF1-A664-90E8CCB52167}">
  <dimension ref="B2:AU58"/>
  <sheetViews>
    <sheetView zoomScale="46" zoomScaleNormal="30" workbookViewId="0">
      <pane xSplit="7" ySplit="4" topLeftCell="H5" activePane="bottomRight" state="frozen"/>
      <selection pane="topRight" activeCell="I1" sqref="I1"/>
      <selection pane="bottomLeft" activeCell="A4" sqref="A4"/>
      <selection pane="bottomRight" activeCell="D5" sqref="D5"/>
    </sheetView>
  </sheetViews>
  <sheetFormatPr defaultColWidth="8.77734375" defaultRowHeight="15" customHeight="1" x14ac:dyDescent="0.6"/>
  <cols>
    <col min="1" max="1" width="8.77734375" style="25"/>
    <col min="2" max="2" width="11.44140625" style="26" customWidth="1"/>
    <col min="3" max="4" width="23.33203125" style="25" customWidth="1"/>
    <col min="5" max="5" width="29.77734375" style="25" customWidth="1"/>
    <col min="6" max="6" width="35.44140625" style="28" customWidth="1"/>
    <col min="7" max="7" width="43.88671875" style="28" customWidth="1"/>
    <col min="8" max="8" width="22.21875" style="25" customWidth="1"/>
    <col min="9" max="9" width="24.6640625" style="25" customWidth="1"/>
    <col min="10" max="10" width="20.33203125" style="25" customWidth="1"/>
    <col min="11" max="11" width="18.33203125" style="25" customWidth="1"/>
    <col min="12" max="12" width="30.6640625" style="26" customWidth="1"/>
    <col min="13" max="13" width="31.88671875" style="26" customWidth="1"/>
    <col min="14" max="14" width="106.44140625" style="25" customWidth="1"/>
    <col min="15" max="15" width="127.77734375" style="25" customWidth="1"/>
    <col min="16" max="16" width="90.109375" style="25" customWidth="1"/>
    <col min="17" max="18" width="15.77734375" style="25" hidden="1" customWidth="1"/>
    <col min="19" max="19" width="23.21875" style="25" hidden="1" customWidth="1"/>
    <col min="20" max="20" width="8.77734375" style="25"/>
    <col min="21" max="21" width="8.77734375" style="25" bestFit="1" customWidth="1"/>
    <col min="22" max="22" width="8.77734375" style="25"/>
    <col min="23" max="23" width="8.77734375" style="25" bestFit="1" customWidth="1"/>
    <col min="24" max="24" width="8.77734375" style="25"/>
    <col min="25" max="25" width="9.44140625" style="25" bestFit="1" customWidth="1"/>
    <col min="26" max="26" width="8.77734375" style="25"/>
    <col min="27" max="27" width="8.77734375" style="25" bestFit="1" customWidth="1"/>
    <col min="28" max="28" width="8.77734375" style="25"/>
    <col min="29" max="29" width="9.44140625" style="25" bestFit="1" customWidth="1"/>
    <col min="30" max="30" width="8.77734375" style="25"/>
    <col min="31" max="31" width="9.44140625" style="25" bestFit="1" customWidth="1"/>
    <col min="32" max="32" width="8.77734375" style="25"/>
    <col min="33" max="33" width="8.77734375" style="25" bestFit="1" customWidth="1"/>
    <col min="34" max="34" width="8.77734375" style="25"/>
    <col min="35" max="35" width="8.77734375" style="25" bestFit="1" customWidth="1"/>
    <col min="36" max="36" width="8.77734375" style="25"/>
    <col min="37" max="37" width="9.44140625" style="25" bestFit="1" customWidth="1"/>
    <col min="38" max="38" width="8.77734375" style="25"/>
    <col min="39" max="39" width="9.44140625" style="25" bestFit="1" customWidth="1"/>
    <col min="40" max="40" width="8.77734375" style="25"/>
    <col min="41" max="41" width="9.44140625" style="25" bestFit="1" customWidth="1"/>
    <col min="42" max="42" width="8.77734375" style="25"/>
    <col min="43" max="43" width="9.44140625" style="25" bestFit="1" customWidth="1"/>
    <col min="44" max="44" width="8.77734375" style="25"/>
    <col min="45" max="45" width="9.44140625" style="25" bestFit="1" customWidth="1"/>
    <col min="46" max="16384" width="8.77734375" style="25"/>
  </cols>
  <sheetData>
    <row r="2" spans="2:47" ht="31.2" x14ac:dyDescent="0.6">
      <c r="B2" s="26">
        <f>SUBTOTAL(3,$B$5:$B$53)</f>
        <v>49</v>
      </c>
      <c r="P2" s="26"/>
    </row>
    <row r="3" spans="2:47" ht="31.2" x14ac:dyDescent="0.6">
      <c r="P3" s="26"/>
    </row>
    <row r="4" spans="2:47" s="88" customFormat="1" ht="82.05" customHeight="1" x14ac:dyDescent="0.3">
      <c r="B4" s="27" t="s">
        <v>0</v>
      </c>
      <c r="C4" s="27" t="s">
        <v>1</v>
      </c>
      <c r="D4" s="27" t="s">
        <v>532</v>
      </c>
      <c r="E4" s="29" t="s">
        <v>3</v>
      </c>
      <c r="F4" s="29" t="s">
        <v>4</v>
      </c>
      <c r="G4" s="29" t="s">
        <v>5</v>
      </c>
      <c r="H4" s="29" t="s">
        <v>7</v>
      </c>
      <c r="I4" s="29" t="s">
        <v>8</v>
      </c>
      <c r="J4" s="29" t="s">
        <v>9</v>
      </c>
      <c r="K4" s="29" t="s">
        <v>10</v>
      </c>
      <c r="L4" s="29" t="s">
        <v>11</v>
      </c>
      <c r="M4" s="29" t="s">
        <v>6</v>
      </c>
      <c r="N4" s="29" t="s">
        <v>12</v>
      </c>
      <c r="O4" s="29" t="s">
        <v>13</v>
      </c>
      <c r="P4" s="29" t="s">
        <v>15</v>
      </c>
      <c r="Q4" s="30" t="s">
        <v>16</v>
      </c>
      <c r="R4" s="105" t="s">
        <v>17</v>
      </c>
      <c r="S4" s="105" t="s">
        <v>18</v>
      </c>
      <c r="U4" s="106" t="s">
        <v>19</v>
      </c>
      <c r="V4" s="107" t="s">
        <v>20</v>
      </c>
      <c r="W4" s="108" t="s">
        <v>21</v>
      </c>
      <c r="X4" s="109" t="s">
        <v>22</v>
      </c>
      <c r="Y4" s="106" t="s">
        <v>23</v>
      </c>
      <c r="Z4" s="107" t="s">
        <v>24</v>
      </c>
      <c r="AA4" s="106" t="s">
        <v>25</v>
      </c>
      <c r="AB4" s="107" t="s">
        <v>26</v>
      </c>
      <c r="AC4" s="110" t="s">
        <v>27</v>
      </c>
      <c r="AD4" s="109" t="s">
        <v>28</v>
      </c>
      <c r="AE4" s="106" t="s">
        <v>29</v>
      </c>
      <c r="AF4" s="111" t="s">
        <v>30</v>
      </c>
      <c r="AG4" s="106" t="s">
        <v>31</v>
      </c>
      <c r="AH4" s="107" t="s">
        <v>32</v>
      </c>
      <c r="AI4" s="106" t="s">
        <v>33</v>
      </c>
      <c r="AJ4" s="107" t="s">
        <v>34</v>
      </c>
      <c r="AK4" s="106" t="s">
        <v>35</v>
      </c>
      <c r="AL4" s="107" t="s">
        <v>36</v>
      </c>
      <c r="AM4" s="106" t="s">
        <v>37</v>
      </c>
      <c r="AN4" s="107" t="s">
        <v>38</v>
      </c>
      <c r="AO4" s="106" t="s">
        <v>39</v>
      </c>
      <c r="AP4" s="107" t="s">
        <v>40</v>
      </c>
      <c r="AQ4" s="106" t="s">
        <v>41</v>
      </c>
      <c r="AR4" s="107" t="s">
        <v>42</v>
      </c>
      <c r="AS4" s="106" t="s">
        <v>43</v>
      </c>
      <c r="AT4" s="112" t="s">
        <v>44</v>
      </c>
      <c r="AU4" s="106" t="s">
        <v>45</v>
      </c>
    </row>
    <row r="5" spans="2:47" s="31" customFormat="1" ht="325.5" customHeight="1" x14ac:dyDescent="0.3">
      <c r="B5" s="50">
        <v>1</v>
      </c>
      <c r="C5" s="33" t="s">
        <v>46</v>
      </c>
      <c r="D5" s="33"/>
      <c r="E5" s="33" t="s">
        <v>48</v>
      </c>
      <c r="F5" s="33" t="s">
        <v>49</v>
      </c>
      <c r="G5" s="126">
        <v>50227463541</v>
      </c>
      <c r="H5" s="41">
        <v>2363</v>
      </c>
      <c r="I5" s="41">
        <f>_xlfn.XLOOKUP(E5,'[2]Database MK'!$E$237:$E$344,'[2]Database MK'!$W$237:$W$344)</f>
        <v>2107.5</v>
      </c>
      <c r="J5" s="48"/>
      <c r="K5" s="49">
        <v>1</v>
      </c>
      <c r="L5" s="50" t="s">
        <v>51</v>
      </c>
      <c r="M5" s="50" t="s">
        <v>14</v>
      </c>
      <c r="N5" s="102" t="s">
        <v>52</v>
      </c>
      <c r="O5" s="102" t="s">
        <v>223</v>
      </c>
      <c r="P5" s="103" t="s">
        <v>573</v>
      </c>
      <c r="Q5" s="113">
        <v>46094</v>
      </c>
      <c r="R5" s="114">
        <v>45928</v>
      </c>
      <c r="S5" s="31">
        <f>R5-Q5</f>
        <v>-166</v>
      </c>
      <c r="U5" s="31">
        <v>54</v>
      </c>
      <c r="V5" s="31" t="s">
        <v>53</v>
      </c>
      <c r="W5" s="31">
        <v>23</v>
      </c>
      <c r="X5" s="31" t="s">
        <v>53</v>
      </c>
      <c r="Y5" s="31">
        <v>-164</v>
      </c>
      <c r="Z5" s="31" t="s">
        <v>54</v>
      </c>
      <c r="AA5" s="31">
        <v>26</v>
      </c>
      <c r="AB5" s="31" t="s">
        <v>53</v>
      </c>
      <c r="AC5" s="31">
        <v>6</v>
      </c>
      <c r="AD5" s="31" t="s">
        <v>53</v>
      </c>
      <c r="AE5" s="31">
        <v>-136</v>
      </c>
      <c r="AF5" s="31" t="s">
        <v>54</v>
      </c>
      <c r="AG5" s="31">
        <v>-95</v>
      </c>
      <c r="AH5" s="31" t="s">
        <v>54</v>
      </c>
      <c r="AI5" s="31">
        <v>-61</v>
      </c>
      <c r="AJ5" s="31" t="s">
        <v>54</v>
      </c>
      <c r="AK5" s="31">
        <v>-49</v>
      </c>
      <c r="AL5" s="31" t="s">
        <v>54</v>
      </c>
      <c r="AM5" s="31">
        <v>-29</v>
      </c>
      <c r="AN5" s="31" t="s">
        <v>55</v>
      </c>
      <c r="AO5" s="31">
        <v>-43</v>
      </c>
      <c r="AP5" s="31" t="s">
        <v>55</v>
      </c>
      <c r="AQ5" s="31">
        <v>-24</v>
      </c>
      <c r="AR5" s="31" t="s">
        <v>55</v>
      </c>
      <c r="AS5" s="31">
        <v>-17</v>
      </c>
      <c r="AT5" s="31" t="s">
        <v>55</v>
      </c>
      <c r="AU5" s="31" t="s">
        <v>56</v>
      </c>
    </row>
    <row r="6" spans="2:47" s="31" customFormat="1" ht="409.6" customHeight="1" x14ac:dyDescent="0.3">
      <c r="B6" s="50">
        <v>1</v>
      </c>
      <c r="C6" s="33" t="s">
        <v>46</v>
      </c>
      <c r="D6" s="33"/>
      <c r="E6" s="33" t="s">
        <v>57</v>
      </c>
      <c r="F6" s="130" t="s">
        <v>58</v>
      </c>
      <c r="G6" s="126">
        <v>201942465302.90002</v>
      </c>
      <c r="H6" s="41">
        <v>4450</v>
      </c>
      <c r="I6" s="41">
        <f>_xlfn.XLOOKUP(E6,'[2]Database MK'!$E$237:$E$344,'[2]Database MK'!$W$237:$W$344)</f>
        <v>3046.4</v>
      </c>
      <c r="J6" s="48">
        <f>H6-I6</f>
        <v>1403.6</v>
      </c>
      <c r="K6" s="49">
        <f t="shared" ref="K6:K53" si="0">I6/H6</f>
        <v>0.68458426966292141</v>
      </c>
      <c r="L6" s="50" t="s">
        <v>51</v>
      </c>
      <c r="M6" s="50" t="s">
        <v>50</v>
      </c>
      <c r="N6" s="102" t="s">
        <v>641</v>
      </c>
      <c r="O6" s="102" t="s">
        <v>595</v>
      </c>
      <c r="P6" s="103" t="s">
        <v>589</v>
      </c>
      <c r="Q6" s="113">
        <v>45573</v>
      </c>
      <c r="R6" s="114">
        <v>45928</v>
      </c>
      <c r="S6" s="31">
        <f t="shared" ref="S6:S53" si="1">R6-Q6</f>
        <v>355</v>
      </c>
      <c r="U6" s="31">
        <v>60</v>
      </c>
      <c r="V6" s="31" t="s">
        <v>53</v>
      </c>
      <c r="W6" s="31">
        <v>48</v>
      </c>
      <c r="X6" s="31" t="s">
        <v>53</v>
      </c>
      <c r="Y6" s="31">
        <v>-50</v>
      </c>
      <c r="Z6" s="31" t="s">
        <v>54</v>
      </c>
      <c r="AA6" s="31">
        <v>75</v>
      </c>
      <c r="AB6" s="31" t="s">
        <v>53</v>
      </c>
      <c r="AC6" s="31">
        <v>41</v>
      </c>
      <c r="AD6" s="31" t="s">
        <v>53</v>
      </c>
      <c r="AE6" s="31">
        <v>355</v>
      </c>
      <c r="AF6" s="31" t="s">
        <v>53</v>
      </c>
      <c r="AG6" s="31">
        <v>82</v>
      </c>
      <c r="AH6" s="31" t="s">
        <v>53</v>
      </c>
      <c r="AI6" s="31">
        <v>-88</v>
      </c>
      <c r="AJ6" s="31" t="s">
        <v>54</v>
      </c>
      <c r="AK6" s="31">
        <v>88</v>
      </c>
      <c r="AL6" s="31" t="s">
        <v>53</v>
      </c>
      <c r="AM6" s="31">
        <v>-29</v>
      </c>
      <c r="AN6" s="31" t="s">
        <v>55</v>
      </c>
      <c r="AO6" s="31">
        <v>-43</v>
      </c>
      <c r="AP6" s="31" t="s">
        <v>55</v>
      </c>
      <c r="AQ6" s="31">
        <v>-24</v>
      </c>
      <c r="AR6" s="31" t="s">
        <v>55</v>
      </c>
      <c r="AS6" s="31">
        <v>-17</v>
      </c>
      <c r="AT6" s="31" t="s">
        <v>55</v>
      </c>
      <c r="AU6" s="31" t="s">
        <v>59</v>
      </c>
    </row>
    <row r="7" spans="2:47" s="31" customFormat="1" ht="256.05" customHeight="1" x14ac:dyDescent="0.3">
      <c r="B7" s="50">
        <v>2</v>
      </c>
      <c r="C7" s="33" t="s">
        <v>46</v>
      </c>
      <c r="D7" s="33"/>
      <c r="E7" s="33" t="s">
        <v>60</v>
      </c>
      <c r="F7" s="33" t="s">
        <v>61</v>
      </c>
      <c r="G7" s="126">
        <v>30274805397</v>
      </c>
      <c r="H7" s="41">
        <v>2084</v>
      </c>
      <c r="I7" s="41">
        <f>_xlfn.XLOOKUP(E7,'[2]Database MK'!$E$237:$E$344,'[2]Database MK'!$W$237:$W$344)</f>
        <v>2066</v>
      </c>
      <c r="J7" s="48"/>
      <c r="K7" s="49">
        <v>1</v>
      </c>
      <c r="L7" s="50" t="s">
        <v>51</v>
      </c>
      <c r="M7" s="50" t="s">
        <v>14</v>
      </c>
      <c r="N7" s="102" t="s">
        <v>63</v>
      </c>
      <c r="O7" s="102" t="s">
        <v>223</v>
      </c>
      <c r="P7" s="103" t="s">
        <v>572</v>
      </c>
      <c r="Q7" s="113">
        <v>46062</v>
      </c>
      <c r="R7" s="114">
        <v>45928</v>
      </c>
      <c r="S7" s="31">
        <f t="shared" si="1"/>
        <v>-134</v>
      </c>
      <c r="U7" s="31">
        <v>-45</v>
      </c>
      <c r="V7" s="31" t="s">
        <v>54</v>
      </c>
      <c r="W7" s="31">
        <v>-54</v>
      </c>
      <c r="X7" s="31" t="s">
        <v>54</v>
      </c>
      <c r="Y7" s="31">
        <v>-38</v>
      </c>
      <c r="Z7" s="31" t="s">
        <v>54</v>
      </c>
      <c r="AA7" s="31">
        <v>-10</v>
      </c>
      <c r="AB7" s="31" t="s">
        <v>54</v>
      </c>
      <c r="AC7" s="31">
        <v>-44</v>
      </c>
      <c r="AD7" s="31" t="s">
        <v>54</v>
      </c>
      <c r="AE7" s="31">
        <v>-136</v>
      </c>
      <c r="AF7" s="31" t="s">
        <v>54</v>
      </c>
      <c r="AG7" s="31">
        <v>-15</v>
      </c>
      <c r="AH7" s="31" t="s">
        <v>54</v>
      </c>
      <c r="AI7" s="31">
        <v>-3</v>
      </c>
      <c r="AJ7" s="31" t="s">
        <v>54</v>
      </c>
      <c r="AK7" s="31">
        <v>-1</v>
      </c>
      <c r="AL7" s="31" t="s">
        <v>54</v>
      </c>
      <c r="AM7" s="31">
        <v>-29</v>
      </c>
      <c r="AN7" s="31" t="s">
        <v>55</v>
      </c>
      <c r="AO7" s="31">
        <v>-43</v>
      </c>
      <c r="AP7" s="31" t="s">
        <v>55</v>
      </c>
      <c r="AQ7" s="31">
        <v>-24</v>
      </c>
      <c r="AR7" s="31" t="s">
        <v>55</v>
      </c>
      <c r="AS7" s="31">
        <v>-17</v>
      </c>
      <c r="AT7" s="31" t="s">
        <v>55</v>
      </c>
      <c r="AU7" s="31" t="s">
        <v>56</v>
      </c>
    </row>
    <row r="8" spans="2:47" s="31" customFormat="1" ht="409.5" customHeight="1" x14ac:dyDescent="0.3">
      <c r="B8" s="50">
        <v>2</v>
      </c>
      <c r="C8" s="33" t="s">
        <v>46</v>
      </c>
      <c r="D8" s="33"/>
      <c r="E8" s="33" t="s">
        <v>65</v>
      </c>
      <c r="F8" s="130" t="s">
        <v>66</v>
      </c>
      <c r="G8" s="126">
        <v>26619887845</v>
      </c>
      <c r="H8" s="41">
        <v>8172</v>
      </c>
      <c r="I8" s="41">
        <f>_xlfn.XLOOKUP(E8,'[2]Database MK'!$E$237:$E$344,'[2]Database MK'!$W$237:$W$344)</f>
        <v>5464.5</v>
      </c>
      <c r="J8" s="48">
        <f t="shared" ref="J8:J53" si="2">H8-I8</f>
        <v>2707.5</v>
      </c>
      <c r="K8" s="49">
        <f t="shared" si="0"/>
        <v>0.66868575624082227</v>
      </c>
      <c r="L8" s="50" t="s">
        <v>67</v>
      </c>
      <c r="M8" s="50" t="s">
        <v>50</v>
      </c>
      <c r="N8" s="102" t="s">
        <v>68</v>
      </c>
      <c r="O8" s="102" t="s">
        <v>596</v>
      </c>
      <c r="P8" s="103" t="s">
        <v>590</v>
      </c>
      <c r="Q8" s="113">
        <v>46153</v>
      </c>
      <c r="R8" s="114">
        <v>45963</v>
      </c>
      <c r="S8" s="31">
        <f t="shared" si="1"/>
        <v>-190</v>
      </c>
      <c r="U8" s="31">
        <v>54</v>
      </c>
      <c r="V8" s="31" t="s">
        <v>53</v>
      </c>
      <c r="W8" s="31">
        <v>45</v>
      </c>
      <c r="X8" s="31" t="s">
        <v>53</v>
      </c>
      <c r="Y8" s="31">
        <v>-4</v>
      </c>
      <c r="Z8" s="31" t="s">
        <v>54</v>
      </c>
      <c r="AA8" s="31">
        <v>13</v>
      </c>
      <c r="AB8" s="31" t="s">
        <v>53</v>
      </c>
      <c r="AC8" s="31">
        <v>-22.291666666664241</v>
      </c>
      <c r="AD8" s="31" t="s">
        <v>54</v>
      </c>
      <c r="AE8" s="31">
        <v>-123</v>
      </c>
      <c r="AF8" s="31" t="s">
        <v>55</v>
      </c>
      <c r="AG8" s="31">
        <v>20</v>
      </c>
      <c r="AH8" s="31" t="s">
        <v>53</v>
      </c>
      <c r="AI8" s="31">
        <v>32</v>
      </c>
      <c r="AJ8" s="31" t="s">
        <v>53</v>
      </c>
      <c r="AK8" s="31">
        <v>11</v>
      </c>
      <c r="AL8" s="31" t="s">
        <v>53</v>
      </c>
      <c r="AM8" s="31">
        <v>-29</v>
      </c>
      <c r="AN8" s="31" t="s">
        <v>55</v>
      </c>
      <c r="AO8" s="31">
        <v>-43</v>
      </c>
      <c r="AP8" s="31" t="s">
        <v>55</v>
      </c>
      <c r="AQ8" s="31">
        <v>-24</v>
      </c>
      <c r="AR8" s="31" t="s">
        <v>55</v>
      </c>
      <c r="AS8" s="31">
        <v>-17</v>
      </c>
      <c r="AT8" s="31" t="s">
        <v>55</v>
      </c>
      <c r="AU8" s="31" t="s">
        <v>56</v>
      </c>
    </row>
    <row r="9" spans="2:47" s="31" customFormat="1" ht="244.5" customHeight="1" x14ac:dyDescent="0.3">
      <c r="B9" s="50">
        <v>3</v>
      </c>
      <c r="C9" s="33" t="s">
        <v>46</v>
      </c>
      <c r="D9" s="33"/>
      <c r="E9" s="33" t="s">
        <v>69</v>
      </c>
      <c r="F9" s="33" t="s">
        <v>70</v>
      </c>
      <c r="G9" s="126">
        <v>2211882788</v>
      </c>
      <c r="H9" s="41">
        <v>611</v>
      </c>
      <c r="I9" s="41">
        <f>_xlfn.XLOOKUP(E9,'[2]Database MK'!$E$237:$E$344,'[2]Database MK'!$W$237:$W$344)</f>
        <v>555</v>
      </c>
      <c r="J9" s="48"/>
      <c r="K9" s="49">
        <v>1</v>
      </c>
      <c r="L9" s="50" t="s">
        <v>71</v>
      </c>
      <c r="M9" s="50" t="s">
        <v>499</v>
      </c>
      <c r="N9" s="102" t="s">
        <v>72</v>
      </c>
      <c r="O9" s="102" t="s">
        <v>582</v>
      </c>
      <c r="P9" s="103" t="s">
        <v>581</v>
      </c>
      <c r="Q9" s="113">
        <v>46153</v>
      </c>
      <c r="R9" s="114">
        <v>45991</v>
      </c>
      <c r="S9" s="31">
        <f t="shared" si="1"/>
        <v>-162</v>
      </c>
      <c r="U9" s="31">
        <v>12</v>
      </c>
      <c r="V9" s="31" t="s">
        <v>53</v>
      </c>
      <c r="W9" s="31">
        <v>3</v>
      </c>
      <c r="X9" s="31" t="s">
        <v>53</v>
      </c>
      <c r="Y9" s="31">
        <v>19</v>
      </c>
      <c r="Z9" s="31" t="s">
        <v>53</v>
      </c>
      <c r="AA9" s="31">
        <v>41</v>
      </c>
      <c r="AB9" s="31" t="s">
        <v>53</v>
      </c>
      <c r="AC9" s="31">
        <v>23</v>
      </c>
      <c r="AD9" s="31" t="s">
        <v>53</v>
      </c>
      <c r="AE9" s="31">
        <v>-95</v>
      </c>
      <c r="AF9" s="31" t="s">
        <v>55</v>
      </c>
      <c r="AG9" s="31">
        <v>48</v>
      </c>
      <c r="AH9" s="31" t="s">
        <v>53</v>
      </c>
      <c r="AI9" s="31">
        <v>60</v>
      </c>
      <c r="AJ9" s="31" t="s">
        <v>53</v>
      </c>
      <c r="AK9" s="31">
        <v>40</v>
      </c>
      <c r="AL9" s="31" t="s">
        <v>53</v>
      </c>
      <c r="AM9" s="31">
        <v>-29</v>
      </c>
      <c r="AN9" s="31" t="s">
        <v>55</v>
      </c>
      <c r="AO9" s="31">
        <v>-43</v>
      </c>
      <c r="AP9" s="31" t="s">
        <v>55</v>
      </c>
      <c r="AQ9" s="31">
        <v>-24</v>
      </c>
      <c r="AR9" s="31" t="s">
        <v>55</v>
      </c>
      <c r="AS9" s="31">
        <v>-17</v>
      </c>
      <c r="AT9" s="31" t="s">
        <v>55</v>
      </c>
      <c r="AU9" s="31" t="s">
        <v>59</v>
      </c>
    </row>
    <row r="10" spans="2:47" s="31" customFormat="1" ht="374.4" x14ac:dyDescent="0.3">
      <c r="B10" s="50">
        <v>1</v>
      </c>
      <c r="C10" s="33" t="s">
        <v>46</v>
      </c>
      <c r="D10" s="33"/>
      <c r="E10" s="33" t="s">
        <v>73</v>
      </c>
      <c r="F10" s="33" t="s">
        <v>74</v>
      </c>
      <c r="G10" s="126">
        <v>8907307436</v>
      </c>
      <c r="H10" s="41">
        <v>5094</v>
      </c>
      <c r="I10" s="41">
        <f>_xlfn.XLOOKUP(E10,'[2]Database MK'!$E$237:$E$344,'[2]Database MK'!$W$237:$W$344)</f>
        <v>1782.4</v>
      </c>
      <c r="J10" s="48"/>
      <c r="K10" s="49">
        <v>1</v>
      </c>
      <c r="L10" s="50" t="s">
        <v>71</v>
      </c>
      <c r="M10" s="50" t="s">
        <v>146</v>
      </c>
      <c r="N10" s="102" t="s">
        <v>76</v>
      </c>
      <c r="O10" s="102" t="s">
        <v>526</v>
      </c>
      <c r="P10" s="103" t="s">
        <v>562</v>
      </c>
      <c r="Q10" s="113">
        <v>46098</v>
      </c>
      <c r="R10" s="114">
        <v>45900</v>
      </c>
      <c r="S10" s="31">
        <f t="shared" si="1"/>
        <v>-198</v>
      </c>
      <c r="U10" s="31">
        <v>-10</v>
      </c>
      <c r="V10" s="31" t="s">
        <v>54</v>
      </c>
      <c r="W10" s="31">
        <v>-18</v>
      </c>
      <c r="X10" s="31" t="s">
        <v>54</v>
      </c>
      <c r="Y10" s="31">
        <v>-66</v>
      </c>
      <c r="Z10" s="31" t="s">
        <v>54</v>
      </c>
      <c r="AA10" s="31">
        <v>-38</v>
      </c>
      <c r="AB10" s="31" t="s">
        <v>54</v>
      </c>
      <c r="AC10" s="31">
        <v>-68</v>
      </c>
      <c r="AD10" s="31" t="s">
        <v>54</v>
      </c>
      <c r="AE10" s="31">
        <v>-186</v>
      </c>
      <c r="AF10" s="31" t="s">
        <v>54</v>
      </c>
      <c r="AG10" s="31">
        <v>-43</v>
      </c>
      <c r="AH10" s="31" t="s">
        <v>54</v>
      </c>
      <c r="AI10" s="31">
        <v>-31</v>
      </c>
      <c r="AJ10" s="31" t="s">
        <v>54</v>
      </c>
      <c r="AK10" s="31">
        <v>-47</v>
      </c>
      <c r="AL10" s="31" t="s">
        <v>54</v>
      </c>
      <c r="AM10" s="31">
        <v>-29</v>
      </c>
      <c r="AN10" s="31" t="s">
        <v>55</v>
      </c>
      <c r="AO10" s="31">
        <v>-43</v>
      </c>
      <c r="AP10" s="31" t="s">
        <v>55</v>
      </c>
      <c r="AQ10" s="31">
        <v>-24</v>
      </c>
      <c r="AR10" s="31" t="s">
        <v>55</v>
      </c>
      <c r="AS10" s="31">
        <v>-17</v>
      </c>
      <c r="AT10" s="31" t="s">
        <v>55</v>
      </c>
      <c r="AU10" s="31" t="s">
        <v>56</v>
      </c>
    </row>
    <row r="11" spans="2:47" s="31" customFormat="1" ht="280.8" x14ac:dyDescent="0.3">
      <c r="B11" s="50">
        <v>4</v>
      </c>
      <c r="C11" s="33" t="s">
        <v>46</v>
      </c>
      <c r="D11" s="33"/>
      <c r="E11" s="33" t="s">
        <v>77</v>
      </c>
      <c r="F11" s="33" t="s">
        <v>78</v>
      </c>
      <c r="G11" s="126">
        <v>29028372403</v>
      </c>
      <c r="H11" s="41">
        <v>17923</v>
      </c>
      <c r="I11" s="41">
        <f>_xlfn.XLOOKUP(E11,'[2]Database MK'!$E$237:$E$344,'[2]Database MK'!$W$237:$W$344)</f>
        <v>12707.3</v>
      </c>
      <c r="J11" s="48"/>
      <c r="K11" s="49">
        <v>1</v>
      </c>
      <c r="L11" s="50" t="s">
        <v>79</v>
      </c>
      <c r="M11" s="50" t="s">
        <v>499</v>
      </c>
      <c r="N11" s="102" t="s">
        <v>80</v>
      </c>
      <c r="O11" s="102" t="s">
        <v>597</v>
      </c>
      <c r="P11" s="103" t="s">
        <v>561</v>
      </c>
      <c r="Q11" s="113">
        <v>46153</v>
      </c>
      <c r="R11" s="114">
        <v>45900</v>
      </c>
      <c r="S11" s="31">
        <f t="shared" si="1"/>
        <v>-253</v>
      </c>
      <c r="U11" s="31">
        <v>-68</v>
      </c>
      <c r="V11" s="31" t="s">
        <v>54</v>
      </c>
      <c r="W11" s="31">
        <v>-93</v>
      </c>
      <c r="X11" s="31" t="s">
        <v>54</v>
      </c>
      <c r="Y11" s="31">
        <v>-66</v>
      </c>
      <c r="Z11" s="31" t="s">
        <v>54</v>
      </c>
      <c r="AA11" s="31">
        <v>-38</v>
      </c>
      <c r="AB11" s="31" t="s">
        <v>54</v>
      </c>
      <c r="AC11" s="31">
        <v>-106</v>
      </c>
      <c r="AD11" s="31" t="s">
        <v>54</v>
      </c>
      <c r="AE11" s="31">
        <v>-186</v>
      </c>
      <c r="AF11" s="31" t="s">
        <v>55</v>
      </c>
      <c r="AG11" s="31">
        <v>-43</v>
      </c>
      <c r="AH11" s="31" t="s">
        <v>54</v>
      </c>
      <c r="AI11" s="31">
        <v>-31</v>
      </c>
      <c r="AJ11" s="31" t="s">
        <v>54</v>
      </c>
      <c r="AK11" s="31">
        <v>-30</v>
      </c>
      <c r="AL11" s="31" t="s">
        <v>54</v>
      </c>
      <c r="AM11" s="31">
        <v>-29</v>
      </c>
      <c r="AN11" s="31" t="s">
        <v>55</v>
      </c>
      <c r="AO11" s="31">
        <v>-43</v>
      </c>
      <c r="AP11" s="31" t="s">
        <v>55</v>
      </c>
      <c r="AQ11" s="31">
        <v>-24</v>
      </c>
      <c r="AR11" s="31" t="s">
        <v>55</v>
      </c>
      <c r="AS11" s="31">
        <v>-17</v>
      </c>
      <c r="AT11" s="31" t="s">
        <v>55</v>
      </c>
      <c r="AU11" s="31" t="s">
        <v>59</v>
      </c>
    </row>
    <row r="12" spans="2:47" s="31" customFormat="1" ht="309" customHeight="1" x14ac:dyDescent="0.3">
      <c r="B12" s="50">
        <v>5</v>
      </c>
      <c r="C12" s="33" t="s">
        <v>46</v>
      </c>
      <c r="D12" s="33"/>
      <c r="E12" s="33" t="s">
        <v>81</v>
      </c>
      <c r="F12" s="130" t="s">
        <v>82</v>
      </c>
      <c r="G12" s="126">
        <v>45174997846</v>
      </c>
      <c r="H12" s="41">
        <v>27532</v>
      </c>
      <c r="I12" s="41">
        <f>_xlfn.XLOOKUP(E12,'[2]Database MK'!$E$237:$E$344,'[2]Database MK'!$W$237:$W$344)</f>
        <v>11374.7</v>
      </c>
      <c r="J12" s="48">
        <f t="shared" si="2"/>
        <v>16157.3</v>
      </c>
      <c r="K12" s="49">
        <f t="shared" si="0"/>
        <v>0.41314470434403605</v>
      </c>
      <c r="L12" s="50" t="s">
        <v>79</v>
      </c>
      <c r="M12" s="50" t="s">
        <v>62</v>
      </c>
      <c r="N12" s="102" t="s">
        <v>637</v>
      </c>
      <c r="O12" s="115" t="s">
        <v>638</v>
      </c>
      <c r="P12" s="103" t="s">
        <v>598</v>
      </c>
      <c r="Q12" s="113">
        <v>46153</v>
      </c>
      <c r="R12" s="114">
        <v>45900</v>
      </c>
      <c r="S12" s="31">
        <f t="shared" si="1"/>
        <v>-253</v>
      </c>
      <c r="U12" s="31">
        <v>-23</v>
      </c>
      <c r="V12" s="31" t="s">
        <v>54</v>
      </c>
      <c r="W12" s="31">
        <v>-36</v>
      </c>
      <c r="X12" s="31" t="s">
        <v>54</v>
      </c>
      <c r="Y12" s="31">
        <v>-74</v>
      </c>
      <c r="Z12" s="31" t="s">
        <v>54</v>
      </c>
      <c r="AA12" s="31">
        <v>-50</v>
      </c>
      <c r="AB12" s="31" t="s">
        <v>54</v>
      </c>
      <c r="AC12" s="31">
        <v>-57</v>
      </c>
      <c r="AD12" s="31" t="s">
        <v>54</v>
      </c>
      <c r="AE12" s="31">
        <v>-186</v>
      </c>
      <c r="AF12" s="31" t="s">
        <v>55</v>
      </c>
      <c r="AG12" s="31">
        <v>-43</v>
      </c>
      <c r="AH12" s="31" t="s">
        <v>54</v>
      </c>
      <c r="AI12" s="31">
        <v>-31</v>
      </c>
      <c r="AJ12" s="31" t="s">
        <v>54</v>
      </c>
      <c r="AK12" s="31">
        <v>-80</v>
      </c>
      <c r="AL12" s="31" t="s">
        <v>54</v>
      </c>
      <c r="AM12" s="31">
        <v>-29</v>
      </c>
      <c r="AN12" s="31" t="s">
        <v>55</v>
      </c>
      <c r="AO12" s="31">
        <v>-43</v>
      </c>
      <c r="AP12" s="31" t="s">
        <v>55</v>
      </c>
      <c r="AQ12" s="31">
        <v>-24</v>
      </c>
      <c r="AR12" s="31" t="s">
        <v>55</v>
      </c>
      <c r="AS12" s="31">
        <v>-17</v>
      </c>
      <c r="AT12" s="31" t="s">
        <v>55</v>
      </c>
      <c r="AU12" s="31" t="s">
        <v>56</v>
      </c>
    </row>
    <row r="13" spans="2:47" s="31" customFormat="1" ht="280.8" x14ac:dyDescent="0.3">
      <c r="B13" s="50">
        <v>6</v>
      </c>
      <c r="C13" s="33" t="s">
        <v>46</v>
      </c>
      <c r="D13" s="33"/>
      <c r="E13" s="33" t="s">
        <v>83</v>
      </c>
      <c r="F13" s="130" t="s">
        <v>84</v>
      </c>
      <c r="G13" s="126">
        <v>37542785600</v>
      </c>
      <c r="H13" s="41">
        <v>24088</v>
      </c>
      <c r="I13" s="41">
        <f>_xlfn.XLOOKUP(E13,'[2]Database MK'!$E$237:$E$344,'[2]Database MK'!$W$237:$W$344)</f>
        <v>19084</v>
      </c>
      <c r="J13" s="48">
        <f t="shared" si="2"/>
        <v>5004</v>
      </c>
      <c r="K13" s="49">
        <f t="shared" si="0"/>
        <v>0.79226170707406174</v>
      </c>
      <c r="L13" s="50" t="s">
        <v>79</v>
      </c>
      <c r="M13" s="50" t="s">
        <v>62</v>
      </c>
      <c r="N13" s="102" t="s">
        <v>636</v>
      </c>
      <c r="O13" s="115" t="s">
        <v>599</v>
      </c>
      <c r="P13" s="103" t="s">
        <v>594</v>
      </c>
      <c r="Q13" s="113">
        <v>46119</v>
      </c>
      <c r="R13" s="114">
        <v>45900</v>
      </c>
      <c r="S13" s="31">
        <f t="shared" si="1"/>
        <v>-219</v>
      </c>
      <c r="U13" s="31">
        <v>-71</v>
      </c>
      <c r="V13" s="31" t="s">
        <v>54</v>
      </c>
      <c r="W13" s="31">
        <v>-82</v>
      </c>
      <c r="X13" s="31" t="s">
        <v>54</v>
      </c>
      <c r="Y13" s="31">
        <v>-85</v>
      </c>
      <c r="Z13" s="31" t="s">
        <v>54</v>
      </c>
      <c r="AA13" s="31">
        <v>-55</v>
      </c>
      <c r="AB13" s="31" t="s">
        <v>54</v>
      </c>
      <c r="AC13" s="31">
        <v>-59</v>
      </c>
      <c r="AD13" s="31" t="s">
        <v>54</v>
      </c>
      <c r="AE13" s="31">
        <v>-186</v>
      </c>
      <c r="AF13" s="31" t="s">
        <v>55</v>
      </c>
      <c r="AG13" s="31">
        <v>-43</v>
      </c>
      <c r="AH13" s="31" t="s">
        <v>54</v>
      </c>
      <c r="AI13" s="31">
        <v>-31</v>
      </c>
      <c r="AJ13" s="31" t="s">
        <v>54</v>
      </c>
      <c r="AK13" s="31">
        <v>-58</v>
      </c>
      <c r="AL13" s="31" t="s">
        <v>54</v>
      </c>
      <c r="AM13" s="31">
        <v>-29</v>
      </c>
      <c r="AN13" s="31" t="s">
        <v>55</v>
      </c>
      <c r="AO13" s="31">
        <v>-43</v>
      </c>
      <c r="AP13" s="31" t="s">
        <v>55</v>
      </c>
      <c r="AQ13" s="31">
        <v>-24</v>
      </c>
      <c r="AR13" s="31" t="s">
        <v>55</v>
      </c>
      <c r="AS13" s="31">
        <v>-17</v>
      </c>
      <c r="AT13" s="31" t="s">
        <v>55</v>
      </c>
      <c r="AU13" s="31" t="s">
        <v>56</v>
      </c>
    </row>
    <row r="14" spans="2:47" s="31" customFormat="1" ht="228.45" customHeight="1" x14ac:dyDescent="0.3">
      <c r="B14" s="50">
        <v>7</v>
      </c>
      <c r="C14" s="33" t="s">
        <v>46</v>
      </c>
      <c r="D14" s="33"/>
      <c r="E14" s="33" t="s">
        <v>85</v>
      </c>
      <c r="F14" s="33" t="s">
        <v>86</v>
      </c>
      <c r="G14" s="126">
        <v>35732085802</v>
      </c>
      <c r="H14" s="41">
        <v>23680</v>
      </c>
      <c r="I14" s="41">
        <f>_xlfn.XLOOKUP(E14,'[2]Database MK'!$E$237:$E$344,'[2]Database MK'!$W$237:$W$344)</f>
        <v>19069</v>
      </c>
      <c r="J14" s="48"/>
      <c r="K14" s="49">
        <v>1</v>
      </c>
      <c r="L14" s="50" t="s">
        <v>67</v>
      </c>
      <c r="M14" s="50" t="s">
        <v>499</v>
      </c>
      <c r="N14" s="102" t="s">
        <v>87</v>
      </c>
      <c r="O14" s="115" t="s">
        <v>570</v>
      </c>
      <c r="P14" s="103" t="s">
        <v>564</v>
      </c>
      <c r="Q14" s="113">
        <v>46149</v>
      </c>
      <c r="R14" s="114">
        <v>45900</v>
      </c>
      <c r="S14" s="31">
        <f t="shared" si="1"/>
        <v>-249</v>
      </c>
      <c r="U14" s="31">
        <v>-53</v>
      </c>
      <c r="V14" s="31" t="s">
        <v>54</v>
      </c>
      <c r="W14" s="31">
        <v>-60</v>
      </c>
      <c r="X14" s="31" t="s">
        <v>54</v>
      </c>
      <c r="Y14" s="31">
        <v>-71</v>
      </c>
      <c r="Z14" s="31" t="s">
        <v>54</v>
      </c>
      <c r="AA14" s="31">
        <v>-52</v>
      </c>
      <c r="AB14" s="31" t="s">
        <v>54</v>
      </c>
      <c r="AC14" s="31">
        <v>-85</v>
      </c>
      <c r="AD14" s="31" t="s">
        <v>54</v>
      </c>
      <c r="AE14" s="31">
        <v>-186</v>
      </c>
      <c r="AF14" s="31" t="s">
        <v>55</v>
      </c>
      <c r="AG14" s="31">
        <v>-43</v>
      </c>
      <c r="AH14" s="31" t="s">
        <v>54</v>
      </c>
      <c r="AI14" s="31">
        <v>-31</v>
      </c>
      <c r="AJ14" s="31" t="s">
        <v>54</v>
      </c>
      <c r="AK14" s="31">
        <v>-65</v>
      </c>
      <c r="AL14" s="31" t="s">
        <v>54</v>
      </c>
      <c r="AM14" s="31">
        <v>-29</v>
      </c>
      <c r="AN14" s="31" t="s">
        <v>55</v>
      </c>
      <c r="AO14" s="31">
        <v>-43</v>
      </c>
      <c r="AP14" s="31" t="s">
        <v>55</v>
      </c>
      <c r="AQ14" s="31">
        <v>-24</v>
      </c>
      <c r="AR14" s="31" t="s">
        <v>55</v>
      </c>
      <c r="AS14" s="31">
        <v>-17</v>
      </c>
      <c r="AT14" s="31" t="s">
        <v>55</v>
      </c>
      <c r="AU14" s="31" t="s">
        <v>59</v>
      </c>
    </row>
    <row r="15" spans="2:47" s="31" customFormat="1" ht="241.95" customHeight="1" x14ac:dyDescent="0.3">
      <c r="B15" s="50">
        <v>8</v>
      </c>
      <c r="C15" s="33" t="s">
        <v>46</v>
      </c>
      <c r="D15" s="33"/>
      <c r="E15" s="33" t="s">
        <v>88</v>
      </c>
      <c r="F15" s="130" t="s">
        <v>89</v>
      </c>
      <c r="G15" s="126">
        <v>26163678274</v>
      </c>
      <c r="H15" s="41">
        <v>13581</v>
      </c>
      <c r="I15" s="41">
        <f>_xlfn.XLOOKUP(E15,'[2]Database MK'!$E$237:$E$344,'[2]Database MK'!$W$237:$W$344)</f>
        <v>6819</v>
      </c>
      <c r="J15" s="48">
        <f t="shared" si="2"/>
        <v>6762</v>
      </c>
      <c r="K15" s="49">
        <f t="shared" si="0"/>
        <v>0.50209851999116417</v>
      </c>
      <c r="L15" s="50" t="s">
        <v>79</v>
      </c>
      <c r="M15" s="50" t="s">
        <v>50</v>
      </c>
      <c r="N15" s="102" t="s">
        <v>635</v>
      </c>
      <c r="O15" s="102" t="s">
        <v>600</v>
      </c>
      <c r="P15" s="103" t="s">
        <v>591</v>
      </c>
      <c r="Q15" s="113">
        <v>46150</v>
      </c>
      <c r="R15" s="114">
        <v>45900</v>
      </c>
      <c r="S15" s="31">
        <f t="shared" si="1"/>
        <v>-250</v>
      </c>
      <c r="U15" s="31">
        <v>-71</v>
      </c>
      <c r="V15" s="31" t="s">
        <v>54</v>
      </c>
      <c r="W15" s="31">
        <v>-82</v>
      </c>
      <c r="X15" s="31" t="s">
        <v>54</v>
      </c>
      <c r="Y15" s="31">
        <v>-73</v>
      </c>
      <c r="Z15" s="31" t="s">
        <v>54</v>
      </c>
      <c r="AA15" s="31">
        <v>-50</v>
      </c>
      <c r="AB15" s="31" t="s">
        <v>54</v>
      </c>
      <c r="AC15" s="31">
        <v>-51</v>
      </c>
      <c r="AD15" s="31" t="s">
        <v>54</v>
      </c>
      <c r="AE15" s="31">
        <v>-186</v>
      </c>
      <c r="AF15" s="31" t="s">
        <v>55</v>
      </c>
      <c r="AG15" s="31">
        <v>-43</v>
      </c>
      <c r="AH15" s="31" t="s">
        <v>54</v>
      </c>
      <c r="AI15" s="31">
        <v>-31</v>
      </c>
      <c r="AJ15" s="31" t="s">
        <v>54</v>
      </c>
      <c r="AK15" s="31">
        <v>-73</v>
      </c>
      <c r="AL15" s="31" t="s">
        <v>54</v>
      </c>
      <c r="AM15" s="31">
        <v>-29</v>
      </c>
      <c r="AN15" s="31" t="s">
        <v>55</v>
      </c>
      <c r="AO15" s="31">
        <v>-43</v>
      </c>
      <c r="AP15" s="31" t="s">
        <v>55</v>
      </c>
      <c r="AQ15" s="31">
        <v>-24</v>
      </c>
      <c r="AR15" s="31" t="s">
        <v>55</v>
      </c>
      <c r="AS15" s="31">
        <v>-17</v>
      </c>
      <c r="AT15" s="31" t="s">
        <v>55</v>
      </c>
      <c r="AU15" s="31" t="s">
        <v>59</v>
      </c>
    </row>
    <row r="16" spans="2:47" s="31" customFormat="1" ht="231" customHeight="1" x14ac:dyDescent="0.3">
      <c r="B16" s="50">
        <v>9</v>
      </c>
      <c r="C16" s="33" t="s">
        <v>46</v>
      </c>
      <c r="D16" s="33"/>
      <c r="E16" s="33" t="s">
        <v>90</v>
      </c>
      <c r="F16" s="130" t="s">
        <v>91</v>
      </c>
      <c r="G16" s="126">
        <v>39965885717</v>
      </c>
      <c r="H16" s="41">
        <v>22917</v>
      </c>
      <c r="I16" s="41">
        <f>_xlfn.XLOOKUP(E16,'[2]Database MK'!$E$237:$E$344,'[2]Database MK'!$W$237:$W$344)</f>
        <v>16945</v>
      </c>
      <c r="J16" s="48">
        <f t="shared" si="2"/>
        <v>5972</v>
      </c>
      <c r="K16" s="49">
        <f t="shared" si="0"/>
        <v>0.73940742680106475</v>
      </c>
      <c r="L16" s="50" t="s">
        <v>79</v>
      </c>
      <c r="M16" s="50" t="s">
        <v>50</v>
      </c>
      <c r="N16" s="102" t="s">
        <v>634</v>
      </c>
      <c r="O16" s="102" t="s">
        <v>601</v>
      </c>
      <c r="P16" s="103" t="s">
        <v>602</v>
      </c>
      <c r="Q16" s="113">
        <v>46153</v>
      </c>
      <c r="R16" s="114">
        <v>45900</v>
      </c>
      <c r="S16" s="31">
        <f t="shared" si="1"/>
        <v>-253</v>
      </c>
      <c r="U16" s="31">
        <v>-23</v>
      </c>
      <c r="V16" s="31" t="s">
        <v>54</v>
      </c>
      <c r="W16" s="31">
        <v>-36</v>
      </c>
      <c r="X16" s="31" t="s">
        <v>54</v>
      </c>
      <c r="Y16" s="31">
        <v>-66</v>
      </c>
      <c r="Z16" s="31" t="s">
        <v>54</v>
      </c>
      <c r="AA16" s="31">
        <v>-37</v>
      </c>
      <c r="AB16" s="31" t="s">
        <v>54</v>
      </c>
      <c r="AC16" s="31">
        <v>-57</v>
      </c>
      <c r="AD16" s="31" t="s">
        <v>54</v>
      </c>
      <c r="AE16" s="31">
        <v>-186</v>
      </c>
      <c r="AF16" s="31" t="s">
        <v>55</v>
      </c>
      <c r="AG16" s="31">
        <v>-43</v>
      </c>
      <c r="AH16" s="31" t="s">
        <v>54</v>
      </c>
      <c r="AI16" s="31">
        <v>-31</v>
      </c>
      <c r="AJ16" s="31" t="s">
        <v>54</v>
      </c>
      <c r="AK16" s="31">
        <v>-85</v>
      </c>
      <c r="AL16" s="31" t="s">
        <v>54</v>
      </c>
      <c r="AM16" s="31">
        <v>-29</v>
      </c>
      <c r="AN16" s="31" t="s">
        <v>55</v>
      </c>
      <c r="AO16" s="31">
        <v>-43</v>
      </c>
      <c r="AP16" s="31" t="s">
        <v>55</v>
      </c>
      <c r="AQ16" s="31">
        <v>-24</v>
      </c>
      <c r="AR16" s="31" t="s">
        <v>55</v>
      </c>
      <c r="AS16" s="31">
        <v>-17</v>
      </c>
      <c r="AT16" s="31" t="s">
        <v>55</v>
      </c>
      <c r="AU16" s="31" t="s">
        <v>56</v>
      </c>
    </row>
    <row r="17" spans="2:47" s="31" customFormat="1" ht="280.8" x14ac:dyDescent="0.3">
      <c r="B17" s="50">
        <v>1</v>
      </c>
      <c r="C17" s="33" t="s">
        <v>46</v>
      </c>
      <c r="D17" s="33"/>
      <c r="E17" s="33" t="s">
        <v>92</v>
      </c>
      <c r="F17" s="130" t="s">
        <v>93</v>
      </c>
      <c r="G17" s="126">
        <v>20859354660</v>
      </c>
      <c r="H17" s="41">
        <v>12786</v>
      </c>
      <c r="I17" s="41">
        <f>_xlfn.XLOOKUP(E17,'[2]Database MK'!$E$237:$E$344,'[2]Database MK'!$W$237:$W$344)</f>
        <v>5835</v>
      </c>
      <c r="J17" s="48">
        <f t="shared" si="2"/>
        <v>6951</v>
      </c>
      <c r="K17" s="49">
        <f t="shared" si="0"/>
        <v>0.45635851712810888</v>
      </c>
      <c r="L17" s="50" t="s">
        <v>79</v>
      </c>
      <c r="M17" s="50" t="s">
        <v>62</v>
      </c>
      <c r="N17" s="102" t="s">
        <v>632</v>
      </c>
      <c r="O17" s="102" t="s">
        <v>633</v>
      </c>
      <c r="P17" s="103" t="s">
        <v>593</v>
      </c>
      <c r="Q17" s="113">
        <v>46107</v>
      </c>
      <c r="R17" s="114">
        <v>45900</v>
      </c>
      <c r="S17" s="31">
        <f t="shared" si="1"/>
        <v>-207</v>
      </c>
      <c r="U17" s="31">
        <v>-18</v>
      </c>
      <c r="V17" s="31" t="s">
        <v>54</v>
      </c>
      <c r="W17" s="31">
        <v>-29</v>
      </c>
      <c r="X17" s="31" t="s">
        <v>54</v>
      </c>
      <c r="Y17" s="31">
        <v>-73</v>
      </c>
      <c r="Z17" s="31" t="s">
        <v>54</v>
      </c>
      <c r="AA17" s="31">
        <v>-50</v>
      </c>
      <c r="AB17" s="31" t="s">
        <v>54</v>
      </c>
      <c r="AC17" s="31">
        <v>-64</v>
      </c>
      <c r="AD17" s="31" t="s">
        <v>54</v>
      </c>
      <c r="AE17" s="31">
        <v>-186</v>
      </c>
      <c r="AF17" s="31" t="s">
        <v>55</v>
      </c>
      <c r="AG17" s="31">
        <v>-43</v>
      </c>
      <c r="AH17" s="31" t="s">
        <v>54</v>
      </c>
      <c r="AI17" s="31">
        <v>-31</v>
      </c>
      <c r="AJ17" s="31" t="s">
        <v>54</v>
      </c>
      <c r="AK17" s="31">
        <v>-86</v>
      </c>
      <c r="AL17" s="31" t="s">
        <v>54</v>
      </c>
      <c r="AM17" s="31">
        <v>-29</v>
      </c>
      <c r="AN17" s="31" t="s">
        <v>55</v>
      </c>
      <c r="AO17" s="31">
        <v>-43</v>
      </c>
      <c r="AP17" s="31" t="s">
        <v>55</v>
      </c>
      <c r="AQ17" s="31">
        <v>-24</v>
      </c>
      <c r="AR17" s="31" t="s">
        <v>55</v>
      </c>
      <c r="AS17" s="31">
        <v>-17</v>
      </c>
      <c r="AT17" s="31" t="s">
        <v>55</v>
      </c>
      <c r="AU17" s="31" t="s">
        <v>59</v>
      </c>
    </row>
    <row r="18" spans="2:47" s="31" customFormat="1" ht="249.6" x14ac:dyDescent="0.3">
      <c r="B18" s="50">
        <v>10</v>
      </c>
      <c r="C18" s="33" t="s">
        <v>46</v>
      </c>
      <c r="D18" s="33"/>
      <c r="E18" s="33" t="s">
        <v>94</v>
      </c>
      <c r="F18" s="33" t="s">
        <v>95</v>
      </c>
      <c r="G18" s="126">
        <v>32722678567</v>
      </c>
      <c r="H18" s="41">
        <v>18889</v>
      </c>
      <c r="I18" s="41">
        <f>_xlfn.XLOOKUP(E18,'[2]Database MK'!$E$237:$E$344,'[2]Database MK'!$W$237:$W$344)</f>
        <v>10600</v>
      </c>
      <c r="J18" s="48"/>
      <c r="K18" s="49">
        <v>1</v>
      </c>
      <c r="L18" s="50" t="s">
        <v>79</v>
      </c>
      <c r="M18" s="50" t="s">
        <v>499</v>
      </c>
      <c r="N18" s="102" t="s">
        <v>96</v>
      </c>
      <c r="O18" s="102" t="s">
        <v>571</v>
      </c>
      <c r="P18" s="103" t="s">
        <v>563</v>
      </c>
      <c r="Q18" s="113">
        <v>46146</v>
      </c>
      <c r="R18" s="114">
        <v>45900</v>
      </c>
      <c r="S18" s="31">
        <f t="shared" si="1"/>
        <v>-246</v>
      </c>
      <c r="U18" s="31">
        <v>-71</v>
      </c>
      <c r="V18" s="31" t="s">
        <v>54</v>
      </c>
      <c r="W18" s="31">
        <v>-82</v>
      </c>
      <c r="X18" s="31" t="s">
        <v>54</v>
      </c>
      <c r="Y18" s="31">
        <v>-107</v>
      </c>
      <c r="Z18" s="31" t="s">
        <v>54</v>
      </c>
      <c r="AA18" s="31">
        <v>-37</v>
      </c>
      <c r="AB18" s="31" t="s">
        <v>54</v>
      </c>
      <c r="AC18" s="31">
        <v>-51</v>
      </c>
      <c r="AD18" s="31" t="s">
        <v>54</v>
      </c>
      <c r="AE18" s="31">
        <v>-186</v>
      </c>
      <c r="AF18" s="31" t="s">
        <v>55</v>
      </c>
      <c r="AG18" s="31">
        <v>-43</v>
      </c>
      <c r="AH18" s="31" t="s">
        <v>54</v>
      </c>
      <c r="AI18" s="31">
        <v>-31</v>
      </c>
      <c r="AJ18" s="31" t="s">
        <v>54</v>
      </c>
      <c r="AK18" s="31">
        <v>-94</v>
      </c>
      <c r="AL18" s="31" t="s">
        <v>54</v>
      </c>
      <c r="AM18" s="31">
        <v>-29</v>
      </c>
      <c r="AN18" s="31" t="s">
        <v>55</v>
      </c>
      <c r="AO18" s="31">
        <v>-43</v>
      </c>
      <c r="AP18" s="31" t="s">
        <v>55</v>
      </c>
      <c r="AQ18" s="31">
        <v>-24</v>
      </c>
      <c r="AR18" s="31" t="s">
        <v>55</v>
      </c>
      <c r="AS18" s="31">
        <v>-17</v>
      </c>
      <c r="AT18" s="31" t="s">
        <v>55</v>
      </c>
      <c r="AU18" s="31" t="s">
        <v>59</v>
      </c>
    </row>
    <row r="19" spans="2:47" s="31" customFormat="1" ht="343.2" x14ac:dyDescent="0.3">
      <c r="B19" s="50">
        <v>11</v>
      </c>
      <c r="C19" s="33" t="s">
        <v>46</v>
      </c>
      <c r="D19" s="33"/>
      <c r="E19" s="33" t="s">
        <v>97</v>
      </c>
      <c r="F19" s="130" t="s">
        <v>98</v>
      </c>
      <c r="G19" s="126">
        <v>110942814797</v>
      </c>
      <c r="H19" s="41">
        <v>8837</v>
      </c>
      <c r="I19" s="41">
        <f>_xlfn.XLOOKUP(E19,'[2]Database MK'!$E$237:$E$344,'[2]Database MK'!$W$237:$W$344)</f>
        <v>4653</v>
      </c>
      <c r="J19" s="48">
        <f t="shared" si="2"/>
        <v>4184</v>
      </c>
      <c r="K19" s="49">
        <f t="shared" si="0"/>
        <v>0.52653615480366645</v>
      </c>
      <c r="L19" s="50" t="s">
        <v>67</v>
      </c>
      <c r="M19" s="50" t="s">
        <v>50</v>
      </c>
      <c r="N19" s="102" t="s">
        <v>631</v>
      </c>
      <c r="O19" s="102" t="s">
        <v>630</v>
      </c>
      <c r="P19" s="103" t="s">
        <v>592</v>
      </c>
      <c r="Q19" s="113">
        <v>46066</v>
      </c>
      <c r="R19" s="114">
        <v>45900</v>
      </c>
      <c r="S19" s="31">
        <f t="shared" si="1"/>
        <v>-166</v>
      </c>
      <c r="U19" s="31">
        <v>-89</v>
      </c>
      <c r="V19" s="31" t="s">
        <v>54</v>
      </c>
      <c r="W19" s="31">
        <v>104</v>
      </c>
      <c r="X19" s="31" t="s">
        <v>53</v>
      </c>
      <c r="Y19" s="31">
        <v>-90.026817129626579</v>
      </c>
      <c r="Z19" s="31" t="s">
        <v>54</v>
      </c>
      <c r="AA19" s="31">
        <v>-73</v>
      </c>
      <c r="AB19" s="31" t="s">
        <v>54</v>
      </c>
      <c r="AC19" s="31">
        <v>-88</v>
      </c>
      <c r="AD19" s="31" t="s">
        <v>54</v>
      </c>
      <c r="AE19" s="31">
        <v>-186</v>
      </c>
      <c r="AF19" s="31" t="s">
        <v>54</v>
      </c>
      <c r="AG19" s="31">
        <v>-43</v>
      </c>
      <c r="AH19" s="31" t="s">
        <v>54</v>
      </c>
      <c r="AI19" s="31">
        <v>-31</v>
      </c>
      <c r="AJ19" s="31" t="s">
        <v>54</v>
      </c>
      <c r="AK19" s="31">
        <v>-50</v>
      </c>
      <c r="AL19" s="31" t="s">
        <v>54</v>
      </c>
      <c r="AM19" s="31">
        <v>-29</v>
      </c>
      <c r="AN19" s="31" t="s">
        <v>55</v>
      </c>
      <c r="AO19" s="31">
        <v>-43</v>
      </c>
      <c r="AP19" s="31" t="s">
        <v>55</v>
      </c>
      <c r="AQ19" s="31">
        <v>-24</v>
      </c>
      <c r="AR19" s="31" t="s">
        <v>55</v>
      </c>
      <c r="AS19" s="31">
        <v>-17</v>
      </c>
      <c r="AT19" s="31" t="s">
        <v>55</v>
      </c>
      <c r="AU19" s="31" t="s">
        <v>56</v>
      </c>
    </row>
    <row r="20" spans="2:47" s="31" customFormat="1" ht="249.6" x14ac:dyDescent="0.3">
      <c r="B20" s="50">
        <v>12</v>
      </c>
      <c r="C20" s="33" t="s">
        <v>46</v>
      </c>
      <c r="D20" s="33"/>
      <c r="E20" s="33" t="s">
        <v>99</v>
      </c>
      <c r="F20" s="130" t="s">
        <v>100</v>
      </c>
      <c r="G20" s="126">
        <v>21199168948</v>
      </c>
      <c r="H20" s="41">
        <v>14692</v>
      </c>
      <c r="I20" s="41">
        <f>_xlfn.XLOOKUP(E20,'[2]Database MK'!$E$237:$E$344,'[2]Database MK'!$W$237:$W$344)</f>
        <v>9898</v>
      </c>
      <c r="J20" s="48">
        <f t="shared" si="2"/>
        <v>4794</v>
      </c>
      <c r="K20" s="49">
        <f t="shared" si="0"/>
        <v>0.67369997277429894</v>
      </c>
      <c r="L20" s="50" t="s">
        <v>79</v>
      </c>
      <c r="M20" s="50" t="s">
        <v>50</v>
      </c>
      <c r="N20" s="102" t="s">
        <v>101</v>
      </c>
      <c r="O20" s="102" t="s">
        <v>604</v>
      </c>
      <c r="P20" s="103" t="s">
        <v>603</v>
      </c>
      <c r="Q20" s="113">
        <v>46153</v>
      </c>
      <c r="R20" s="114">
        <v>45900</v>
      </c>
      <c r="S20" s="31">
        <f t="shared" si="1"/>
        <v>-253</v>
      </c>
      <c r="U20" s="31">
        <v>18</v>
      </c>
      <c r="V20" s="31" t="s">
        <v>53</v>
      </c>
      <c r="W20" s="31">
        <v>4</v>
      </c>
      <c r="X20" s="31" t="s">
        <v>53</v>
      </c>
      <c r="Y20" s="31">
        <v>-15</v>
      </c>
      <c r="Z20" s="31" t="s">
        <v>54</v>
      </c>
      <c r="AA20" s="31">
        <v>12</v>
      </c>
      <c r="AB20" s="31" t="s">
        <v>53</v>
      </c>
      <c r="AC20" s="31">
        <v>-8</v>
      </c>
      <c r="AD20" s="31" t="s">
        <v>54</v>
      </c>
      <c r="AE20" s="31">
        <v>-186</v>
      </c>
      <c r="AF20" s="31" t="s">
        <v>55</v>
      </c>
      <c r="AG20" s="31">
        <v>209</v>
      </c>
      <c r="AH20" s="31" t="s">
        <v>53</v>
      </c>
      <c r="AI20" s="31">
        <v>216</v>
      </c>
      <c r="AJ20" s="31" t="s">
        <v>53</v>
      </c>
      <c r="AK20" s="31">
        <v>9</v>
      </c>
      <c r="AL20" s="31" t="s">
        <v>53</v>
      </c>
      <c r="AM20" s="31">
        <v>-64</v>
      </c>
      <c r="AN20" s="31" t="s">
        <v>55</v>
      </c>
      <c r="AO20" s="31">
        <v>-78</v>
      </c>
      <c r="AP20" s="31" t="s">
        <v>55</v>
      </c>
      <c r="AQ20" s="31">
        <v>-59</v>
      </c>
      <c r="AR20" s="31" t="s">
        <v>55</v>
      </c>
      <c r="AS20" s="31">
        <v>-52</v>
      </c>
      <c r="AT20" s="31" t="s">
        <v>55</v>
      </c>
      <c r="AU20" s="31" t="s">
        <v>56</v>
      </c>
    </row>
    <row r="21" spans="2:47" s="31" customFormat="1" ht="280.8" x14ac:dyDescent="0.3">
      <c r="B21" s="50">
        <v>1</v>
      </c>
      <c r="C21" s="33" t="s">
        <v>102</v>
      </c>
      <c r="D21" s="33"/>
      <c r="E21" s="33" t="s">
        <v>103</v>
      </c>
      <c r="F21" s="130" t="s">
        <v>104</v>
      </c>
      <c r="G21" s="126">
        <v>47547203012</v>
      </c>
      <c r="H21" s="41">
        <v>3780</v>
      </c>
      <c r="I21" s="41">
        <f>_xlfn.XLOOKUP(E21,'[2]Database MK'!$E$237:$E$344,'[2]Database MK'!$W$237:$W$344)</f>
        <v>4149</v>
      </c>
      <c r="J21" s="48">
        <f t="shared" si="2"/>
        <v>-369</v>
      </c>
      <c r="K21" s="49">
        <v>0.9</v>
      </c>
      <c r="L21" s="50" t="s">
        <v>79</v>
      </c>
      <c r="M21" s="50" t="s">
        <v>50</v>
      </c>
      <c r="N21" s="102" t="s">
        <v>105</v>
      </c>
      <c r="O21" s="102" t="s">
        <v>615</v>
      </c>
      <c r="P21" s="116" t="s">
        <v>583</v>
      </c>
      <c r="Q21" s="113">
        <v>46098</v>
      </c>
      <c r="R21" s="114">
        <v>45865</v>
      </c>
      <c r="S21" s="31">
        <f t="shared" si="1"/>
        <v>-233</v>
      </c>
      <c r="U21" s="31">
        <v>52</v>
      </c>
      <c r="V21" s="31" t="s">
        <v>53</v>
      </c>
      <c r="W21" s="31">
        <v>40</v>
      </c>
      <c r="X21" s="31" t="s">
        <v>53</v>
      </c>
      <c r="Y21" s="31">
        <v>45</v>
      </c>
      <c r="Z21" s="31" t="s">
        <v>53</v>
      </c>
      <c r="AA21" s="31">
        <v>45</v>
      </c>
      <c r="AB21" s="31" t="s">
        <v>53</v>
      </c>
      <c r="AC21" s="31">
        <v>-68</v>
      </c>
      <c r="AD21" s="31" t="s">
        <v>54</v>
      </c>
      <c r="AE21" s="31">
        <v>-221</v>
      </c>
      <c r="AF21" s="31" t="s">
        <v>55</v>
      </c>
      <c r="AG21" s="31">
        <v>-35</v>
      </c>
      <c r="AH21" s="31" t="s">
        <v>54</v>
      </c>
      <c r="AI21" s="31">
        <v>-28</v>
      </c>
      <c r="AJ21" s="31" t="s">
        <v>54</v>
      </c>
      <c r="AK21" s="31">
        <v>-24</v>
      </c>
      <c r="AL21" s="31" t="s">
        <v>54</v>
      </c>
      <c r="AM21" s="31">
        <v>-120</v>
      </c>
      <c r="AN21" s="31" t="s">
        <v>55</v>
      </c>
      <c r="AO21" s="31">
        <v>-134</v>
      </c>
      <c r="AP21" s="31" t="s">
        <v>55</v>
      </c>
      <c r="AQ21" s="31">
        <v>-115</v>
      </c>
      <c r="AR21" s="31" t="s">
        <v>55</v>
      </c>
      <c r="AS21" s="31">
        <v>-99</v>
      </c>
      <c r="AT21" s="31" t="s">
        <v>55</v>
      </c>
      <c r="AU21" s="31" t="s">
        <v>56</v>
      </c>
    </row>
    <row r="22" spans="2:47" s="31" customFormat="1" ht="187.2" x14ac:dyDescent="0.3">
      <c r="B22" s="50">
        <v>2</v>
      </c>
      <c r="C22" s="33" t="s">
        <v>102</v>
      </c>
      <c r="D22" s="33"/>
      <c r="E22" s="33" t="s">
        <v>106</v>
      </c>
      <c r="F22" s="130" t="s">
        <v>107</v>
      </c>
      <c r="G22" s="126">
        <v>17702853748</v>
      </c>
      <c r="H22" s="41">
        <v>1162</v>
      </c>
      <c r="I22" s="41">
        <f>_xlfn.XLOOKUP(E22,'[2]Database MK'!$E$237:$E$344,'[2]Database MK'!$W$237:$W$344)</f>
        <v>630</v>
      </c>
      <c r="J22" s="48">
        <f t="shared" si="2"/>
        <v>532</v>
      </c>
      <c r="K22" s="49">
        <f t="shared" si="0"/>
        <v>0.54216867469879515</v>
      </c>
      <c r="L22" s="50" t="s">
        <v>79</v>
      </c>
      <c r="M22" s="50" t="s">
        <v>50</v>
      </c>
      <c r="N22" s="102" t="s">
        <v>108</v>
      </c>
      <c r="O22" s="102" t="s">
        <v>614</v>
      </c>
      <c r="P22" s="116" t="s">
        <v>583</v>
      </c>
      <c r="Q22" s="113">
        <v>46113</v>
      </c>
      <c r="R22" s="114">
        <v>45865</v>
      </c>
      <c r="S22" s="31">
        <f t="shared" si="1"/>
        <v>-248</v>
      </c>
      <c r="U22" s="31">
        <v>52</v>
      </c>
      <c r="V22" s="31" t="s">
        <v>53</v>
      </c>
      <c r="W22" s="31">
        <v>40</v>
      </c>
      <c r="X22" s="31" t="s">
        <v>53</v>
      </c>
      <c r="Y22" s="31">
        <v>44</v>
      </c>
      <c r="Z22" s="31" t="s">
        <v>53</v>
      </c>
      <c r="AA22" s="31">
        <v>44</v>
      </c>
      <c r="AB22" s="31" t="s">
        <v>53</v>
      </c>
      <c r="AC22" s="31">
        <v>-29</v>
      </c>
      <c r="AD22" s="31" t="s">
        <v>54</v>
      </c>
      <c r="AE22" s="31">
        <v>-221</v>
      </c>
      <c r="AF22" s="31" t="s">
        <v>55</v>
      </c>
      <c r="AG22" s="31">
        <v>-35</v>
      </c>
      <c r="AH22" s="31" t="s">
        <v>54</v>
      </c>
      <c r="AI22" s="31">
        <v>-28</v>
      </c>
      <c r="AJ22" s="31" t="s">
        <v>54</v>
      </c>
      <c r="AK22" s="31">
        <v>-26</v>
      </c>
      <c r="AL22" s="31" t="s">
        <v>54</v>
      </c>
      <c r="AM22" s="31">
        <v>-120</v>
      </c>
      <c r="AN22" s="31" t="s">
        <v>55</v>
      </c>
      <c r="AO22" s="31">
        <v>-134</v>
      </c>
      <c r="AP22" s="31" t="s">
        <v>55</v>
      </c>
      <c r="AQ22" s="31">
        <v>-115</v>
      </c>
      <c r="AR22" s="31" t="s">
        <v>55</v>
      </c>
      <c r="AS22" s="31">
        <v>-99</v>
      </c>
      <c r="AT22" s="31" t="s">
        <v>55</v>
      </c>
      <c r="AU22" s="31" t="s">
        <v>59</v>
      </c>
    </row>
    <row r="23" spans="2:47" s="31" customFormat="1" ht="280.8" x14ac:dyDescent="0.3">
      <c r="B23" s="50">
        <v>1</v>
      </c>
      <c r="C23" s="33" t="s">
        <v>102</v>
      </c>
      <c r="D23" s="33"/>
      <c r="E23" s="33" t="s">
        <v>109</v>
      </c>
      <c r="F23" s="130" t="s">
        <v>110</v>
      </c>
      <c r="G23" s="126">
        <v>983838843</v>
      </c>
      <c r="H23" s="41">
        <v>18</v>
      </c>
      <c r="I23" s="41"/>
      <c r="J23" s="48">
        <f t="shared" si="2"/>
        <v>18</v>
      </c>
      <c r="K23" s="49">
        <f t="shared" si="0"/>
        <v>0</v>
      </c>
      <c r="L23" s="50" t="s">
        <v>79</v>
      </c>
      <c r="M23" s="50" t="s">
        <v>111</v>
      </c>
      <c r="N23" s="102" t="s">
        <v>112</v>
      </c>
      <c r="O23" s="102" t="s">
        <v>523</v>
      </c>
      <c r="P23" s="116" t="s">
        <v>583</v>
      </c>
      <c r="Q23" s="113">
        <v>46098</v>
      </c>
      <c r="R23" s="114">
        <v>45956</v>
      </c>
      <c r="S23" s="31">
        <f t="shared" si="1"/>
        <v>-142</v>
      </c>
      <c r="U23" s="31">
        <v>68</v>
      </c>
      <c r="V23" s="31" t="s">
        <v>53</v>
      </c>
      <c r="W23" s="31">
        <v>62</v>
      </c>
      <c r="X23" s="31" t="s">
        <v>53</v>
      </c>
      <c r="Y23" s="31">
        <v>86.30607638888614</v>
      </c>
      <c r="Z23" s="31" t="s">
        <v>53</v>
      </c>
      <c r="AA23" s="31">
        <v>85.988854166665988</v>
      </c>
      <c r="AB23" s="31" t="s">
        <v>53</v>
      </c>
      <c r="AC23" s="31">
        <v>43.708333333335759</v>
      </c>
      <c r="AD23" s="31" t="s">
        <v>53</v>
      </c>
      <c r="AE23" s="31">
        <v>-130</v>
      </c>
      <c r="AF23" s="31" t="s">
        <v>55</v>
      </c>
      <c r="AG23" s="31">
        <v>56</v>
      </c>
      <c r="AH23" s="31" t="s">
        <v>53</v>
      </c>
      <c r="AI23" s="31">
        <v>63</v>
      </c>
      <c r="AJ23" s="31" t="s">
        <v>53</v>
      </c>
      <c r="AK23" s="31">
        <v>-110</v>
      </c>
      <c r="AL23" s="31" t="s">
        <v>54</v>
      </c>
      <c r="AM23" s="31">
        <v>-120</v>
      </c>
      <c r="AN23" s="31" t="s">
        <v>55</v>
      </c>
      <c r="AO23" s="31">
        <v>-127</v>
      </c>
      <c r="AP23" s="31" t="s">
        <v>55</v>
      </c>
      <c r="AQ23" s="31">
        <v>-115</v>
      </c>
      <c r="AR23" s="31" t="s">
        <v>55</v>
      </c>
      <c r="AS23" s="31">
        <v>-108</v>
      </c>
      <c r="AT23" s="31" t="s">
        <v>55</v>
      </c>
      <c r="AU23" s="31" t="s">
        <v>56</v>
      </c>
    </row>
    <row r="24" spans="2:47" s="31" customFormat="1" ht="280.8" x14ac:dyDescent="0.3">
      <c r="B24" s="50">
        <v>2</v>
      </c>
      <c r="C24" s="33" t="s">
        <v>102</v>
      </c>
      <c r="D24" s="33"/>
      <c r="E24" s="33" t="s">
        <v>113</v>
      </c>
      <c r="F24" s="130" t="s">
        <v>114</v>
      </c>
      <c r="G24" s="126">
        <v>224679205</v>
      </c>
      <c r="H24" s="41">
        <v>1</v>
      </c>
      <c r="I24" s="41"/>
      <c r="J24" s="48">
        <f t="shared" si="2"/>
        <v>1</v>
      </c>
      <c r="K24" s="49">
        <f t="shared" si="0"/>
        <v>0</v>
      </c>
      <c r="L24" s="50" t="s">
        <v>79</v>
      </c>
      <c r="M24" s="50" t="s">
        <v>111</v>
      </c>
      <c r="N24" s="102" t="s">
        <v>115</v>
      </c>
      <c r="O24" s="102" t="s">
        <v>491</v>
      </c>
      <c r="P24" s="116" t="s">
        <v>583</v>
      </c>
      <c r="Q24" s="113">
        <v>46098</v>
      </c>
      <c r="R24" s="114">
        <v>45956</v>
      </c>
      <c r="S24" s="31">
        <f t="shared" si="1"/>
        <v>-142</v>
      </c>
      <c r="U24" s="31">
        <v>47</v>
      </c>
      <c r="V24" s="31" t="s">
        <v>53</v>
      </c>
      <c r="W24" s="31">
        <v>40</v>
      </c>
      <c r="X24" s="31" t="s">
        <v>53</v>
      </c>
      <c r="Y24" s="31">
        <v>83</v>
      </c>
      <c r="Z24" s="31" t="s">
        <v>53</v>
      </c>
      <c r="AA24" s="31">
        <v>82</v>
      </c>
      <c r="AB24" s="31" t="s">
        <v>53</v>
      </c>
      <c r="AC24" s="31">
        <v>32</v>
      </c>
      <c r="AD24" s="31" t="s">
        <v>53</v>
      </c>
      <c r="AE24" s="31">
        <v>-130</v>
      </c>
      <c r="AF24" s="31" t="s">
        <v>55</v>
      </c>
      <c r="AG24" s="31">
        <v>56</v>
      </c>
      <c r="AH24" s="31" t="s">
        <v>53</v>
      </c>
      <c r="AI24" s="31">
        <v>63</v>
      </c>
      <c r="AJ24" s="31" t="s">
        <v>53</v>
      </c>
      <c r="AK24" s="31">
        <v>-110</v>
      </c>
      <c r="AL24" s="31" t="s">
        <v>54</v>
      </c>
      <c r="AM24" s="31">
        <v>-120</v>
      </c>
      <c r="AN24" s="31" t="s">
        <v>55</v>
      </c>
      <c r="AO24" s="31">
        <v>-127</v>
      </c>
      <c r="AP24" s="31" t="s">
        <v>55</v>
      </c>
      <c r="AQ24" s="31">
        <v>-115</v>
      </c>
      <c r="AR24" s="31" t="s">
        <v>55</v>
      </c>
      <c r="AS24" s="31">
        <v>-108</v>
      </c>
      <c r="AT24" s="31" t="s">
        <v>55</v>
      </c>
      <c r="AU24" s="31" t="s">
        <v>59</v>
      </c>
    </row>
    <row r="25" spans="2:47" s="31" customFormat="1" ht="264" customHeight="1" x14ac:dyDescent="0.3">
      <c r="B25" s="50">
        <v>3</v>
      </c>
      <c r="C25" s="33" t="s">
        <v>102</v>
      </c>
      <c r="D25" s="33"/>
      <c r="E25" s="33" t="s">
        <v>116</v>
      </c>
      <c r="F25" s="130" t="s">
        <v>117</v>
      </c>
      <c r="G25" s="126">
        <v>9781028172</v>
      </c>
      <c r="H25" s="117">
        <v>6146</v>
      </c>
      <c r="I25" s="41">
        <f>_xlfn.XLOOKUP(E25,'[2]Database MK'!$E$237:$E$344,'[2]Database MK'!$W$237:$W$344)</f>
        <v>5983</v>
      </c>
      <c r="J25" s="48">
        <f t="shared" si="2"/>
        <v>163</v>
      </c>
      <c r="K25" s="49">
        <f t="shared" si="0"/>
        <v>0.97347868532378778</v>
      </c>
      <c r="L25" s="50" t="s">
        <v>51</v>
      </c>
      <c r="M25" s="50" t="s">
        <v>50</v>
      </c>
      <c r="N25" s="102" t="s">
        <v>118</v>
      </c>
      <c r="O25" s="102" t="s">
        <v>613</v>
      </c>
      <c r="P25" s="116" t="s">
        <v>583</v>
      </c>
      <c r="Q25" s="113">
        <v>46122</v>
      </c>
      <c r="R25" s="114">
        <v>45837</v>
      </c>
      <c r="S25" s="31">
        <f t="shared" si="1"/>
        <v>-285</v>
      </c>
      <c r="U25" s="31">
        <v>20</v>
      </c>
      <c r="V25" s="31" t="s">
        <v>53</v>
      </c>
      <c r="W25" s="31">
        <v>13</v>
      </c>
      <c r="X25" s="31" t="s">
        <v>53</v>
      </c>
      <c r="Y25" s="31">
        <v>24</v>
      </c>
      <c r="Z25" s="31" t="s">
        <v>53</v>
      </c>
      <c r="AA25" s="31">
        <v>23</v>
      </c>
      <c r="AB25" s="31" t="s">
        <v>53</v>
      </c>
      <c r="AC25" s="31">
        <v>-60</v>
      </c>
      <c r="AD25" s="31" t="s">
        <v>54</v>
      </c>
      <c r="AE25" s="31">
        <v>-249</v>
      </c>
      <c r="AF25" s="31" t="s">
        <v>55</v>
      </c>
      <c r="AG25" s="31">
        <v>-63</v>
      </c>
      <c r="AH25" s="31" t="s">
        <v>54</v>
      </c>
      <c r="AI25" s="31">
        <v>-56</v>
      </c>
      <c r="AJ25" s="31" t="s">
        <v>54</v>
      </c>
      <c r="AK25" s="31">
        <v>-52</v>
      </c>
      <c r="AL25" s="31" t="s">
        <v>54</v>
      </c>
      <c r="AM25" s="31">
        <v>-120</v>
      </c>
      <c r="AN25" s="31" t="s">
        <v>55</v>
      </c>
      <c r="AO25" s="31">
        <v>-134</v>
      </c>
      <c r="AP25" s="31" t="s">
        <v>55</v>
      </c>
      <c r="AQ25" s="31">
        <v>-115</v>
      </c>
      <c r="AR25" s="31" t="s">
        <v>55</v>
      </c>
      <c r="AS25" s="31">
        <v>-99</v>
      </c>
      <c r="AT25" s="31" t="s">
        <v>55</v>
      </c>
      <c r="AU25" s="31" t="s">
        <v>56</v>
      </c>
    </row>
    <row r="26" spans="2:47" s="31" customFormat="1" ht="186.45" customHeight="1" x14ac:dyDescent="0.3">
      <c r="B26" s="50">
        <v>4</v>
      </c>
      <c r="C26" s="33" t="s">
        <v>102</v>
      </c>
      <c r="D26" s="33"/>
      <c r="E26" s="33" t="s">
        <v>119</v>
      </c>
      <c r="F26" s="130" t="s">
        <v>120</v>
      </c>
      <c r="G26" s="126">
        <v>17649963246</v>
      </c>
      <c r="H26" s="41">
        <v>11420</v>
      </c>
      <c r="I26" s="41">
        <f>_xlfn.XLOOKUP(E26,'[2]Database MK'!$E$237:$E$344,'[2]Database MK'!$W$237:$W$344)</f>
        <v>10078</v>
      </c>
      <c r="J26" s="48">
        <f t="shared" si="2"/>
        <v>1342</v>
      </c>
      <c r="K26" s="49">
        <f t="shared" si="0"/>
        <v>0.88248686514886165</v>
      </c>
      <c r="L26" s="50" t="s">
        <v>51</v>
      </c>
      <c r="M26" s="50" t="s">
        <v>50</v>
      </c>
      <c r="N26" s="102" t="s">
        <v>121</v>
      </c>
      <c r="O26" s="102" t="s">
        <v>524</v>
      </c>
      <c r="P26" s="116" t="s">
        <v>583</v>
      </c>
      <c r="Q26" s="113">
        <v>46122</v>
      </c>
      <c r="R26" s="114">
        <v>45837</v>
      </c>
      <c r="S26" s="31">
        <f t="shared" si="1"/>
        <v>-285</v>
      </c>
      <c r="U26" s="31">
        <v>20</v>
      </c>
      <c r="V26" s="31" t="s">
        <v>53</v>
      </c>
      <c r="W26" s="31">
        <v>12</v>
      </c>
      <c r="X26" s="31" t="s">
        <v>53</v>
      </c>
      <c r="Y26" s="31">
        <v>24</v>
      </c>
      <c r="Z26" s="31" t="s">
        <v>53</v>
      </c>
      <c r="AA26" s="31">
        <v>24</v>
      </c>
      <c r="AB26" s="31" t="s">
        <v>53</v>
      </c>
      <c r="AC26" s="31">
        <v>9</v>
      </c>
      <c r="AD26" s="31" t="s">
        <v>53</v>
      </c>
      <c r="AE26" s="31">
        <v>-249</v>
      </c>
      <c r="AF26" s="31" t="s">
        <v>55</v>
      </c>
      <c r="AG26" s="31">
        <v>-63</v>
      </c>
      <c r="AH26" s="31" t="s">
        <v>54</v>
      </c>
      <c r="AI26" s="31">
        <v>-56</v>
      </c>
      <c r="AJ26" s="31" t="s">
        <v>54</v>
      </c>
      <c r="AK26" s="31">
        <v>-54</v>
      </c>
      <c r="AL26" s="31" t="s">
        <v>54</v>
      </c>
      <c r="AM26" s="31">
        <v>-120</v>
      </c>
      <c r="AN26" s="31" t="s">
        <v>55</v>
      </c>
      <c r="AO26" s="31">
        <v>-134</v>
      </c>
      <c r="AP26" s="31" t="s">
        <v>55</v>
      </c>
      <c r="AQ26" s="31">
        <v>-115</v>
      </c>
      <c r="AR26" s="31" t="s">
        <v>55</v>
      </c>
      <c r="AS26" s="31">
        <v>-99</v>
      </c>
      <c r="AT26" s="31" t="s">
        <v>55</v>
      </c>
      <c r="AU26" s="31" t="s">
        <v>59</v>
      </c>
    </row>
    <row r="27" spans="2:47" s="31" customFormat="1" ht="313.95" customHeight="1" x14ac:dyDescent="0.3">
      <c r="B27" s="50">
        <v>5</v>
      </c>
      <c r="C27" s="33" t="s">
        <v>102</v>
      </c>
      <c r="D27" s="33"/>
      <c r="E27" s="33" t="s">
        <v>122</v>
      </c>
      <c r="F27" s="130" t="s">
        <v>123</v>
      </c>
      <c r="G27" s="126">
        <v>10125135685</v>
      </c>
      <c r="H27" s="41">
        <v>6338</v>
      </c>
      <c r="I27" s="41">
        <f>_xlfn.XLOOKUP(E27,'[2]Database MK'!$E$237:$E$344,'[2]Database MK'!$W$237:$W$344)</f>
        <v>6670.2</v>
      </c>
      <c r="J27" s="48">
        <f t="shared" si="2"/>
        <v>-332.19999999999982</v>
      </c>
      <c r="K27" s="49">
        <f t="shared" si="0"/>
        <v>1.0524140107289366</v>
      </c>
      <c r="L27" s="50" t="s">
        <v>51</v>
      </c>
      <c r="M27" s="50" t="s">
        <v>50</v>
      </c>
      <c r="N27" s="102" t="s">
        <v>121</v>
      </c>
      <c r="O27" s="102" t="s">
        <v>616</v>
      </c>
      <c r="P27" s="116" t="s">
        <v>583</v>
      </c>
      <c r="Q27" s="113">
        <v>46140</v>
      </c>
      <c r="R27" s="114">
        <v>45837</v>
      </c>
      <c r="S27" s="31">
        <f t="shared" si="1"/>
        <v>-303</v>
      </c>
      <c r="U27" s="31">
        <v>20</v>
      </c>
      <c r="V27" s="31" t="s">
        <v>53</v>
      </c>
      <c r="W27" s="31">
        <v>13</v>
      </c>
      <c r="X27" s="31" t="s">
        <v>53</v>
      </c>
      <c r="Y27" s="31">
        <v>23</v>
      </c>
      <c r="Z27" s="31" t="s">
        <v>53</v>
      </c>
      <c r="AA27" s="31">
        <v>23</v>
      </c>
      <c r="AB27" s="31" t="s">
        <v>53</v>
      </c>
      <c r="AC27" s="31">
        <v>-50</v>
      </c>
      <c r="AD27" s="31" t="s">
        <v>54</v>
      </c>
      <c r="AE27" s="31">
        <v>-249</v>
      </c>
      <c r="AF27" s="31" t="s">
        <v>55</v>
      </c>
      <c r="AG27" s="31">
        <v>-63</v>
      </c>
      <c r="AH27" s="31" t="s">
        <v>54</v>
      </c>
      <c r="AI27" s="31">
        <v>-56</v>
      </c>
      <c r="AJ27" s="31" t="s">
        <v>54</v>
      </c>
      <c r="AK27" s="31">
        <v>-52</v>
      </c>
      <c r="AL27" s="31" t="s">
        <v>54</v>
      </c>
      <c r="AM27" s="31">
        <v>-120</v>
      </c>
      <c r="AN27" s="31" t="s">
        <v>55</v>
      </c>
      <c r="AO27" s="31">
        <v>-134</v>
      </c>
      <c r="AP27" s="31" t="s">
        <v>55</v>
      </c>
      <c r="AQ27" s="31">
        <v>-115</v>
      </c>
      <c r="AR27" s="31" t="s">
        <v>55</v>
      </c>
      <c r="AS27" s="31">
        <v>-99</v>
      </c>
      <c r="AT27" s="31" t="s">
        <v>55</v>
      </c>
      <c r="AU27" s="31" t="s">
        <v>59</v>
      </c>
    </row>
    <row r="28" spans="2:47" s="31" customFormat="1" ht="238.95" customHeight="1" x14ac:dyDescent="0.3">
      <c r="B28" s="50">
        <v>6</v>
      </c>
      <c r="C28" s="33" t="s">
        <v>102</v>
      </c>
      <c r="D28" s="33"/>
      <c r="E28" s="33" t="s">
        <v>124</v>
      </c>
      <c r="F28" s="130" t="s">
        <v>125</v>
      </c>
      <c r="G28" s="126">
        <v>22251292018</v>
      </c>
      <c r="H28" s="41">
        <v>14274</v>
      </c>
      <c r="I28" s="41">
        <f>_xlfn.XLOOKUP(E28,'[2]Database MK'!$E$237:$E$344,'[2]Database MK'!$W$237:$W$344)</f>
        <v>12710</v>
      </c>
      <c r="J28" s="48">
        <f t="shared" si="2"/>
        <v>1564</v>
      </c>
      <c r="K28" s="49">
        <f t="shared" si="0"/>
        <v>0.89043015272523474</v>
      </c>
      <c r="L28" s="50" t="s">
        <v>51</v>
      </c>
      <c r="M28" s="50" t="s">
        <v>50</v>
      </c>
      <c r="N28" s="102" t="s">
        <v>121</v>
      </c>
      <c r="O28" s="102" t="s">
        <v>617</v>
      </c>
      <c r="P28" s="116" t="s">
        <v>583</v>
      </c>
      <c r="Q28" s="113">
        <v>46140</v>
      </c>
      <c r="R28" s="114">
        <v>45837</v>
      </c>
      <c r="S28" s="31">
        <f t="shared" si="1"/>
        <v>-303</v>
      </c>
      <c r="U28" s="31">
        <v>19</v>
      </c>
      <c r="V28" s="31" t="s">
        <v>53</v>
      </c>
      <c r="W28" s="31">
        <v>12</v>
      </c>
      <c r="X28" s="31" t="s">
        <v>53</v>
      </c>
      <c r="Y28" s="31">
        <v>23</v>
      </c>
      <c r="Z28" s="31" t="s">
        <v>53</v>
      </c>
      <c r="AA28" s="31">
        <v>24</v>
      </c>
      <c r="AB28" s="31" t="s">
        <v>53</v>
      </c>
      <c r="AC28" s="31">
        <v>-52</v>
      </c>
      <c r="AD28" s="31" t="s">
        <v>54</v>
      </c>
      <c r="AE28" s="31">
        <v>-249</v>
      </c>
      <c r="AF28" s="31" t="s">
        <v>55</v>
      </c>
      <c r="AG28" s="31">
        <v>-63</v>
      </c>
      <c r="AH28" s="31" t="s">
        <v>54</v>
      </c>
      <c r="AI28" s="31">
        <v>-56</v>
      </c>
      <c r="AJ28" s="31" t="s">
        <v>54</v>
      </c>
      <c r="AK28" s="31">
        <v>-52</v>
      </c>
      <c r="AL28" s="31" t="s">
        <v>54</v>
      </c>
      <c r="AM28" s="31">
        <v>-120</v>
      </c>
      <c r="AN28" s="31" t="s">
        <v>55</v>
      </c>
      <c r="AO28" s="31">
        <v>-134</v>
      </c>
      <c r="AP28" s="31" t="s">
        <v>55</v>
      </c>
      <c r="AQ28" s="31">
        <v>-115</v>
      </c>
      <c r="AR28" s="31" t="s">
        <v>55</v>
      </c>
      <c r="AS28" s="31">
        <v>-99</v>
      </c>
      <c r="AT28" s="31" t="s">
        <v>55</v>
      </c>
      <c r="AU28" s="31" t="s">
        <v>59</v>
      </c>
    </row>
    <row r="29" spans="2:47" s="31" customFormat="1" ht="249" customHeight="1" x14ac:dyDescent="0.3">
      <c r="B29" s="50">
        <v>7</v>
      </c>
      <c r="C29" s="33" t="s">
        <v>102</v>
      </c>
      <c r="D29" s="33"/>
      <c r="E29" s="33" t="s">
        <v>126</v>
      </c>
      <c r="F29" s="130" t="s">
        <v>127</v>
      </c>
      <c r="G29" s="126">
        <v>7463167245</v>
      </c>
      <c r="H29" s="41">
        <v>4643</v>
      </c>
      <c r="I29" s="41">
        <f>_xlfn.XLOOKUP(E29,'[2]Database MK'!$E$237:$E$344,'[2]Database MK'!$W$237:$W$344)</f>
        <v>3672</v>
      </c>
      <c r="J29" s="48">
        <f t="shared" si="2"/>
        <v>971</v>
      </c>
      <c r="K29" s="49">
        <f t="shared" si="0"/>
        <v>0.79086797329312941</v>
      </c>
      <c r="L29" s="50" t="s">
        <v>51</v>
      </c>
      <c r="M29" s="50" t="s">
        <v>50</v>
      </c>
      <c r="N29" s="102" t="s">
        <v>121</v>
      </c>
      <c r="O29" s="102" t="s">
        <v>618</v>
      </c>
      <c r="P29" s="116" t="s">
        <v>583</v>
      </c>
      <c r="Q29" s="113">
        <v>46098</v>
      </c>
      <c r="R29" s="114">
        <v>45837</v>
      </c>
      <c r="S29" s="31">
        <f t="shared" si="1"/>
        <v>-261</v>
      </c>
      <c r="U29" s="31">
        <v>19</v>
      </c>
      <c r="V29" s="31" t="s">
        <v>53</v>
      </c>
      <c r="W29" s="31">
        <v>12</v>
      </c>
      <c r="X29" s="31" t="s">
        <v>53</v>
      </c>
      <c r="Y29" s="31">
        <v>23</v>
      </c>
      <c r="Z29" s="31" t="s">
        <v>53</v>
      </c>
      <c r="AA29" s="31">
        <v>23</v>
      </c>
      <c r="AB29" s="31" t="s">
        <v>53</v>
      </c>
      <c r="AC29" s="31">
        <v>-50</v>
      </c>
      <c r="AD29" s="31" t="s">
        <v>54</v>
      </c>
      <c r="AE29" s="31">
        <v>-249</v>
      </c>
      <c r="AF29" s="31" t="s">
        <v>55</v>
      </c>
      <c r="AG29" s="31">
        <v>-63</v>
      </c>
      <c r="AH29" s="31" t="s">
        <v>54</v>
      </c>
      <c r="AI29" s="31">
        <v>-56</v>
      </c>
      <c r="AJ29" s="31" t="s">
        <v>54</v>
      </c>
      <c r="AK29" s="31">
        <v>-81</v>
      </c>
      <c r="AL29" s="31" t="s">
        <v>54</v>
      </c>
      <c r="AM29" s="31">
        <v>-120</v>
      </c>
      <c r="AN29" s="31" t="s">
        <v>55</v>
      </c>
      <c r="AO29" s="31">
        <v>-134</v>
      </c>
      <c r="AP29" s="31" t="s">
        <v>55</v>
      </c>
      <c r="AQ29" s="31">
        <v>-115</v>
      </c>
      <c r="AR29" s="31" t="s">
        <v>55</v>
      </c>
      <c r="AS29" s="31">
        <v>-99</v>
      </c>
      <c r="AT29" s="31" t="s">
        <v>55</v>
      </c>
      <c r="AU29" s="31" t="s">
        <v>59</v>
      </c>
    </row>
    <row r="30" spans="2:47" s="31" customFormat="1" ht="328.05" customHeight="1" x14ac:dyDescent="0.3">
      <c r="B30" s="50">
        <v>8</v>
      </c>
      <c r="C30" s="33" t="s">
        <v>102</v>
      </c>
      <c r="D30" s="33"/>
      <c r="E30" s="33" t="s">
        <v>128</v>
      </c>
      <c r="F30" s="33" t="s">
        <v>129</v>
      </c>
      <c r="G30" s="126">
        <v>562633602</v>
      </c>
      <c r="H30" s="41">
        <v>265</v>
      </c>
      <c r="I30" s="41">
        <f>_xlfn.XLOOKUP(E30,'[2]Database MK'!$E$237:$E$344,'[2]Database MK'!$W$237:$W$344)</f>
        <v>251</v>
      </c>
      <c r="J30" s="48"/>
      <c r="K30" s="49">
        <v>1</v>
      </c>
      <c r="L30" s="50" t="s">
        <v>51</v>
      </c>
      <c r="M30" s="50" t="s">
        <v>499</v>
      </c>
      <c r="N30" s="102" t="s">
        <v>130</v>
      </c>
      <c r="O30" s="33" t="s">
        <v>628</v>
      </c>
      <c r="P30" s="69" t="s">
        <v>625</v>
      </c>
      <c r="Q30" s="113">
        <v>46146</v>
      </c>
      <c r="R30" s="114">
        <v>45928</v>
      </c>
      <c r="S30" s="31">
        <f t="shared" si="1"/>
        <v>-218</v>
      </c>
      <c r="U30" s="31">
        <v>48</v>
      </c>
      <c r="V30" s="31" t="s">
        <v>53</v>
      </c>
      <c r="W30" s="31">
        <v>47</v>
      </c>
      <c r="X30" s="31" t="s">
        <v>53</v>
      </c>
      <c r="Y30" s="31">
        <v>33</v>
      </c>
      <c r="Z30" s="31" t="s">
        <v>53</v>
      </c>
      <c r="AA30" s="31">
        <v>61</v>
      </c>
      <c r="AB30" s="31" t="s">
        <v>53</v>
      </c>
      <c r="AC30" s="31">
        <v>12</v>
      </c>
      <c r="AD30" s="31" t="s">
        <v>53</v>
      </c>
      <c r="AE30" s="31">
        <v>-158</v>
      </c>
      <c r="AF30" s="31" t="s">
        <v>55</v>
      </c>
      <c r="AG30" s="31">
        <v>-59</v>
      </c>
      <c r="AH30" s="31" t="s">
        <v>54</v>
      </c>
      <c r="AI30" s="31">
        <v>-52</v>
      </c>
      <c r="AJ30" s="31" t="s">
        <v>54</v>
      </c>
      <c r="AK30" s="31">
        <v>-52</v>
      </c>
      <c r="AL30" s="31" t="s">
        <v>54</v>
      </c>
      <c r="AM30" s="31">
        <v>-183</v>
      </c>
      <c r="AN30" s="31" t="s">
        <v>55</v>
      </c>
      <c r="AO30" s="31">
        <v>-183</v>
      </c>
      <c r="AP30" s="31" t="s">
        <v>55</v>
      </c>
      <c r="AQ30" s="31">
        <v>-178</v>
      </c>
      <c r="AR30" s="31" t="s">
        <v>55</v>
      </c>
      <c r="AS30" s="31">
        <v>-171</v>
      </c>
      <c r="AT30" s="31" t="s">
        <v>55</v>
      </c>
      <c r="AU30" s="31" t="s">
        <v>59</v>
      </c>
    </row>
    <row r="31" spans="2:47" s="31" customFormat="1" ht="268.95" customHeight="1" x14ac:dyDescent="0.3">
      <c r="B31" s="50">
        <v>9</v>
      </c>
      <c r="C31" s="33" t="s">
        <v>102</v>
      </c>
      <c r="D31" s="33"/>
      <c r="E31" s="33" t="s">
        <v>131</v>
      </c>
      <c r="F31" s="33" t="s">
        <v>132</v>
      </c>
      <c r="G31" s="126">
        <v>2899780730</v>
      </c>
      <c r="H31" s="117">
        <v>697</v>
      </c>
      <c r="I31" s="41">
        <f>_xlfn.XLOOKUP(E31,'[2]Database MK'!$E$237:$E$344,'[2]Database MK'!$W$237:$W$344)</f>
        <v>719</v>
      </c>
      <c r="J31" s="48"/>
      <c r="K31" s="49">
        <v>1</v>
      </c>
      <c r="L31" s="50" t="s">
        <v>51</v>
      </c>
      <c r="M31" s="50" t="s">
        <v>499</v>
      </c>
      <c r="N31" s="102" t="s">
        <v>133</v>
      </c>
      <c r="O31" s="33" t="s">
        <v>627</v>
      </c>
      <c r="P31" s="69" t="s">
        <v>626</v>
      </c>
      <c r="Q31" s="113">
        <v>46146</v>
      </c>
      <c r="R31" s="114">
        <v>45984</v>
      </c>
      <c r="S31" s="31">
        <f t="shared" si="1"/>
        <v>-162</v>
      </c>
      <c r="U31" s="31">
        <v>110</v>
      </c>
      <c r="V31" s="31" t="s">
        <v>53</v>
      </c>
      <c r="W31" s="31">
        <v>90</v>
      </c>
      <c r="X31" s="31" t="s">
        <v>53</v>
      </c>
      <c r="Y31" s="31">
        <v>99</v>
      </c>
      <c r="Z31" s="31" t="s">
        <v>53</v>
      </c>
      <c r="AA31" s="31">
        <v>120</v>
      </c>
      <c r="AB31" s="31" t="s">
        <v>53</v>
      </c>
      <c r="AC31" s="31">
        <v>-33</v>
      </c>
      <c r="AD31" s="31" t="s">
        <v>54</v>
      </c>
      <c r="AE31" s="31">
        <v>-102</v>
      </c>
      <c r="AF31" s="31" t="s">
        <v>55</v>
      </c>
      <c r="AG31" s="31">
        <v>36</v>
      </c>
      <c r="AH31" s="31" t="s">
        <v>53</v>
      </c>
      <c r="AI31" s="31">
        <v>43</v>
      </c>
      <c r="AJ31" s="31" t="s">
        <v>53</v>
      </c>
      <c r="AK31" s="31">
        <v>25</v>
      </c>
      <c r="AL31" s="31" t="s">
        <v>53</v>
      </c>
      <c r="AM31" s="31">
        <v>-120</v>
      </c>
      <c r="AN31" s="31" t="s">
        <v>55</v>
      </c>
      <c r="AO31" s="31">
        <v>-120</v>
      </c>
      <c r="AP31" s="31" t="s">
        <v>55</v>
      </c>
      <c r="AQ31" s="31">
        <v>-115</v>
      </c>
      <c r="AR31" s="31" t="s">
        <v>55</v>
      </c>
      <c r="AS31" s="31">
        <v>-108</v>
      </c>
      <c r="AT31" s="31" t="s">
        <v>55</v>
      </c>
      <c r="AU31" s="31" t="s">
        <v>59</v>
      </c>
    </row>
    <row r="32" spans="2:47" s="31" customFormat="1" ht="312" x14ac:dyDescent="0.3">
      <c r="B32" s="50">
        <v>1</v>
      </c>
      <c r="C32" s="33" t="s">
        <v>102</v>
      </c>
      <c r="D32" s="33"/>
      <c r="E32" s="33" t="s">
        <v>134</v>
      </c>
      <c r="F32" s="33" t="s">
        <v>135</v>
      </c>
      <c r="G32" s="126">
        <v>216162043</v>
      </c>
      <c r="H32" s="117">
        <v>163</v>
      </c>
      <c r="I32" s="41">
        <f>_xlfn.XLOOKUP(E32,'[2]Database MK'!$E$237:$E$344,'[2]Database MK'!$W$237:$W$344)</f>
        <v>207</v>
      </c>
      <c r="J32" s="48"/>
      <c r="K32" s="49">
        <v>1</v>
      </c>
      <c r="L32" s="50" t="s">
        <v>136</v>
      </c>
      <c r="M32" s="50" t="s">
        <v>146</v>
      </c>
      <c r="N32" s="102" t="s">
        <v>137</v>
      </c>
      <c r="O32" s="33" t="s">
        <v>623</v>
      </c>
      <c r="P32" s="69" t="s">
        <v>622</v>
      </c>
      <c r="Q32" s="113">
        <v>46153</v>
      </c>
      <c r="R32" s="114">
        <v>45956</v>
      </c>
      <c r="S32" s="31">
        <f t="shared" si="1"/>
        <v>-197</v>
      </c>
      <c r="U32" s="31">
        <v>83</v>
      </c>
      <c r="V32" s="31" t="s">
        <v>53</v>
      </c>
      <c r="W32" s="31">
        <v>66</v>
      </c>
      <c r="X32" s="31" t="s">
        <v>53</v>
      </c>
      <c r="Y32" s="31">
        <v>82</v>
      </c>
      <c r="Z32" s="31" t="s">
        <v>53</v>
      </c>
      <c r="AA32" s="31">
        <v>103</v>
      </c>
      <c r="AB32" s="31" t="s">
        <v>53</v>
      </c>
      <c r="AC32" s="31">
        <v>52</v>
      </c>
      <c r="AD32" s="31" t="s">
        <v>53</v>
      </c>
      <c r="AE32" s="31">
        <v>-130</v>
      </c>
      <c r="AF32" s="31" t="s">
        <v>55</v>
      </c>
      <c r="AG32" s="31">
        <v>-31</v>
      </c>
      <c r="AH32" s="31" t="s">
        <v>54</v>
      </c>
      <c r="AI32" s="31">
        <v>-24</v>
      </c>
      <c r="AJ32" s="31" t="s">
        <v>54</v>
      </c>
      <c r="AK32" s="31">
        <v>-26</v>
      </c>
      <c r="AL32" s="31" t="s">
        <v>54</v>
      </c>
      <c r="AM32" s="31">
        <v>-148</v>
      </c>
      <c r="AN32" s="31" t="s">
        <v>55</v>
      </c>
      <c r="AO32" s="31">
        <v>-148</v>
      </c>
      <c r="AP32" s="31" t="s">
        <v>55</v>
      </c>
      <c r="AQ32" s="31">
        <v>-143</v>
      </c>
      <c r="AR32" s="31" t="s">
        <v>55</v>
      </c>
      <c r="AS32" s="31">
        <v>-136</v>
      </c>
      <c r="AT32" s="31" t="s">
        <v>55</v>
      </c>
      <c r="AU32" s="31" t="s">
        <v>59</v>
      </c>
    </row>
    <row r="33" spans="2:47" s="31" customFormat="1" ht="312" x14ac:dyDescent="0.3">
      <c r="B33" s="50">
        <v>2</v>
      </c>
      <c r="C33" s="33" t="s">
        <v>102</v>
      </c>
      <c r="D33" s="33"/>
      <c r="E33" s="33" t="s">
        <v>138</v>
      </c>
      <c r="F33" s="33" t="s">
        <v>139</v>
      </c>
      <c r="G33" s="126">
        <v>636530022</v>
      </c>
      <c r="H33" s="117">
        <v>446</v>
      </c>
      <c r="I33" s="41">
        <f>_xlfn.XLOOKUP(E33,'[2]Database MK'!$E$237:$E$344,'[2]Database MK'!$W$237:$W$344)</f>
        <v>480</v>
      </c>
      <c r="J33" s="48"/>
      <c r="K33" s="49">
        <v>1</v>
      </c>
      <c r="L33" s="50" t="s">
        <v>136</v>
      </c>
      <c r="M33" s="50" t="s">
        <v>146</v>
      </c>
      <c r="N33" s="102" t="s">
        <v>140</v>
      </c>
      <c r="O33" s="33" t="s">
        <v>623</v>
      </c>
      <c r="P33" s="69" t="s">
        <v>504</v>
      </c>
      <c r="Q33" s="113">
        <v>46134</v>
      </c>
      <c r="R33" s="114">
        <v>45956</v>
      </c>
      <c r="S33" s="31">
        <f t="shared" si="1"/>
        <v>-178</v>
      </c>
      <c r="U33" s="31">
        <v>83</v>
      </c>
      <c r="V33" s="31" t="s">
        <v>53</v>
      </c>
      <c r="W33" s="31">
        <v>62</v>
      </c>
      <c r="X33" s="31" t="s">
        <v>53</v>
      </c>
      <c r="Y33" s="31">
        <v>75</v>
      </c>
      <c r="Z33" s="31" t="s">
        <v>53</v>
      </c>
      <c r="AA33" s="31">
        <v>96</v>
      </c>
      <c r="AB33" s="31" t="s">
        <v>53</v>
      </c>
      <c r="AC33" s="31">
        <v>52</v>
      </c>
      <c r="AD33" s="31" t="s">
        <v>53</v>
      </c>
      <c r="AE33" s="31">
        <v>-130</v>
      </c>
      <c r="AF33" s="31" t="s">
        <v>55</v>
      </c>
      <c r="AG33" s="31">
        <v>34</v>
      </c>
      <c r="AH33" s="31" t="s">
        <v>53</v>
      </c>
      <c r="AI33" s="31">
        <v>41</v>
      </c>
      <c r="AJ33" s="31" t="s">
        <v>53</v>
      </c>
      <c r="AK33" s="31">
        <v>40</v>
      </c>
      <c r="AL33" s="31" t="s">
        <v>53</v>
      </c>
      <c r="AM33" s="31">
        <v>-120</v>
      </c>
      <c r="AN33" s="31" t="s">
        <v>55</v>
      </c>
      <c r="AO33" s="31">
        <v>-127</v>
      </c>
      <c r="AP33" s="31" t="s">
        <v>55</v>
      </c>
      <c r="AQ33" s="31">
        <v>-115</v>
      </c>
      <c r="AR33" s="31" t="s">
        <v>55</v>
      </c>
      <c r="AS33" s="31">
        <v>-108</v>
      </c>
      <c r="AT33" s="31" t="s">
        <v>55</v>
      </c>
      <c r="AU33" s="31" t="s">
        <v>56</v>
      </c>
    </row>
    <row r="34" spans="2:47" s="31" customFormat="1" ht="343.2" x14ac:dyDescent="0.3">
      <c r="B34" s="58">
        <v>1</v>
      </c>
      <c r="C34" s="39" t="s">
        <v>102</v>
      </c>
      <c r="D34" s="39"/>
      <c r="E34" s="39" t="s">
        <v>141</v>
      </c>
      <c r="F34" s="39" t="s">
        <v>142</v>
      </c>
      <c r="G34" s="126">
        <v>347707099</v>
      </c>
      <c r="H34" s="47">
        <v>218</v>
      </c>
      <c r="I34" s="41">
        <f>_xlfn.XLOOKUP(E34,'[2]Database MK'!$E$237:$E$344,'[2]Database MK'!$W$237:$W$344)</f>
        <v>0</v>
      </c>
      <c r="J34" s="48">
        <f t="shared" si="2"/>
        <v>218</v>
      </c>
      <c r="K34" s="49">
        <f t="shared" si="0"/>
        <v>0</v>
      </c>
      <c r="L34" s="58" t="s">
        <v>136</v>
      </c>
      <c r="M34" s="58" t="s">
        <v>267</v>
      </c>
      <c r="N34" s="118" t="s">
        <v>143</v>
      </c>
      <c r="O34" s="119" t="s">
        <v>267</v>
      </c>
      <c r="P34" s="119" t="s">
        <v>267</v>
      </c>
      <c r="Q34" s="113">
        <v>46112</v>
      </c>
      <c r="R34" s="114">
        <v>45984</v>
      </c>
      <c r="S34" s="31">
        <f t="shared" si="1"/>
        <v>-128</v>
      </c>
      <c r="U34" s="31">
        <v>110</v>
      </c>
      <c r="V34" s="31" t="s">
        <v>53</v>
      </c>
      <c r="W34" s="31">
        <v>94</v>
      </c>
      <c r="X34" s="31" t="s">
        <v>53</v>
      </c>
      <c r="Y34" s="31">
        <v>110</v>
      </c>
      <c r="Z34" s="31" t="s">
        <v>53</v>
      </c>
      <c r="AA34" s="31">
        <v>131</v>
      </c>
      <c r="AB34" s="31" t="s">
        <v>53</v>
      </c>
      <c r="AC34" s="31">
        <v>80</v>
      </c>
      <c r="AD34" s="31" t="s">
        <v>53</v>
      </c>
      <c r="AE34" s="31">
        <v>-102</v>
      </c>
      <c r="AF34" s="31" t="s">
        <v>55</v>
      </c>
      <c r="AG34" s="31">
        <v>-3</v>
      </c>
      <c r="AH34" s="31" t="s">
        <v>54</v>
      </c>
      <c r="AI34" s="31">
        <v>4</v>
      </c>
      <c r="AJ34" s="31" t="s">
        <v>53</v>
      </c>
      <c r="AK34" s="31">
        <v>2</v>
      </c>
      <c r="AL34" s="31" t="s">
        <v>53</v>
      </c>
      <c r="AM34" s="31">
        <v>-120</v>
      </c>
      <c r="AN34" s="31" t="s">
        <v>55</v>
      </c>
      <c r="AO34" s="31">
        <v>-120</v>
      </c>
      <c r="AP34" s="31" t="s">
        <v>55</v>
      </c>
      <c r="AQ34" s="31">
        <v>-115</v>
      </c>
      <c r="AR34" s="31" t="s">
        <v>55</v>
      </c>
      <c r="AS34" s="31">
        <v>-108</v>
      </c>
      <c r="AT34" s="31" t="s">
        <v>55</v>
      </c>
      <c r="AU34" s="31" t="s">
        <v>59</v>
      </c>
    </row>
    <row r="35" spans="2:47" s="31" customFormat="1" ht="218.4" x14ac:dyDescent="0.3">
      <c r="B35" s="50">
        <v>3</v>
      </c>
      <c r="C35" s="33" t="s">
        <v>102</v>
      </c>
      <c r="D35" s="33"/>
      <c r="E35" s="33" t="s">
        <v>144</v>
      </c>
      <c r="F35" s="33" t="s">
        <v>145</v>
      </c>
      <c r="G35" s="126">
        <v>190642074</v>
      </c>
      <c r="H35" s="41">
        <v>52</v>
      </c>
      <c r="I35" s="41">
        <f>_xlfn.XLOOKUP(E35,'[2]Database MK'!$E$237:$E$344,'[2]Database MK'!$W$237:$W$344)</f>
        <v>71</v>
      </c>
      <c r="J35" s="48"/>
      <c r="K35" s="49">
        <v>1</v>
      </c>
      <c r="L35" s="50" t="s">
        <v>136</v>
      </c>
      <c r="M35" s="50" t="s">
        <v>624</v>
      </c>
      <c r="N35" s="102" t="s">
        <v>147</v>
      </c>
      <c r="O35" s="33" t="s">
        <v>527</v>
      </c>
      <c r="P35" s="33" t="s">
        <v>505</v>
      </c>
      <c r="Q35" s="113">
        <v>46093</v>
      </c>
      <c r="R35" s="114">
        <v>45984</v>
      </c>
      <c r="S35" s="31">
        <f t="shared" si="1"/>
        <v>-109</v>
      </c>
      <c r="U35" s="31">
        <v>110</v>
      </c>
      <c r="V35" s="31" t="s">
        <v>53</v>
      </c>
      <c r="W35" s="31">
        <v>90</v>
      </c>
      <c r="X35" s="31" t="s">
        <v>53</v>
      </c>
      <c r="Y35" s="31">
        <v>103</v>
      </c>
      <c r="Z35" s="31" t="s">
        <v>53</v>
      </c>
      <c r="AA35" s="31">
        <v>124</v>
      </c>
      <c r="AB35" s="31" t="s">
        <v>53</v>
      </c>
      <c r="AC35" s="31">
        <v>80</v>
      </c>
      <c r="AD35" s="31" t="s">
        <v>53</v>
      </c>
      <c r="AE35" s="31">
        <v>-102</v>
      </c>
      <c r="AF35" s="31" t="s">
        <v>55</v>
      </c>
      <c r="AG35" s="31">
        <v>-1</v>
      </c>
      <c r="AH35" s="31" t="s">
        <v>54</v>
      </c>
      <c r="AI35" s="31">
        <v>6</v>
      </c>
      <c r="AJ35" s="31" t="s">
        <v>53</v>
      </c>
      <c r="AK35" s="31">
        <v>12</v>
      </c>
      <c r="AL35" s="31" t="s">
        <v>53</v>
      </c>
      <c r="AM35" s="31">
        <v>-120</v>
      </c>
      <c r="AN35" s="31" t="s">
        <v>55</v>
      </c>
      <c r="AO35" s="31">
        <v>-120</v>
      </c>
      <c r="AP35" s="31" t="s">
        <v>55</v>
      </c>
      <c r="AQ35" s="31">
        <v>-115</v>
      </c>
      <c r="AR35" s="31" t="s">
        <v>55</v>
      </c>
      <c r="AS35" s="31">
        <v>-108</v>
      </c>
      <c r="AT35" s="31" t="s">
        <v>55</v>
      </c>
      <c r="AU35" s="31" t="s">
        <v>59</v>
      </c>
    </row>
    <row r="36" spans="2:47" s="31" customFormat="1" ht="129.44999999999999" customHeight="1" x14ac:dyDescent="0.3">
      <c r="B36" s="50">
        <v>4</v>
      </c>
      <c r="C36" s="33" t="s">
        <v>102</v>
      </c>
      <c r="D36" s="33"/>
      <c r="E36" s="33" t="s">
        <v>148</v>
      </c>
      <c r="F36" s="33" t="s">
        <v>149</v>
      </c>
      <c r="G36" s="126">
        <v>106576466</v>
      </c>
      <c r="H36" s="117">
        <v>59</v>
      </c>
      <c r="I36" s="41">
        <f>_xlfn.XLOOKUP(E36,'[2]Database MK'!$E$237:$E$344,'[2]Database MK'!$W$237:$W$344)</f>
        <v>35</v>
      </c>
      <c r="J36" s="48"/>
      <c r="K36" s="49">
        <v>1</v>
      </c>
      <c r="L36" s="50" t="s">
        <v>136</v>
      </c>
      <c r="M36" s="50" t="s">
        <v>146</v>
      </c>
      <c r="N36" s="102" t="s">
        <v>150</v>
      </c>
      <c r="O36" s="33" t="s">
        <v>623</v>
      </c>
      <c r="P36" s="69" t="s">
        <v>506</v>
      </c>
      <c r="Q36" s="113">
        <v>46093</v>
      </c>
      <c r="R36" s="114">
        <v>45984</v>
      </c>
      <c r="S36" s="31">
        <f t="shared" si="1"/>
        <v>-109</v>
      </c>
      <c r="U36" s="31">
        <v>110</v>
      </c>
      <c r="V36" s="31" t="s">
        <v>53</v>
      </c>
      <c r="W36" s="31">
        <v>94</v>
      </c>
      <c r="X36" s="31" t="s">
        <v>53</v>
      </c>
      <c r="Y36" s="31">
        <v>111</v>
      </c>
      <c r="Z36" s="31" t="s">
        <v>53</v>
      </c>
      <c r="AA36" s="31">
        <v>132</v>
      </c>
      <c r="AB36" s="31" t="s">
        <v>53</v>
      </c>
      <c r="AC36" s="31">
        <v>80</v>
      </c>
      <c r="AD36" s="31" t="s">
        <v>53</v>
      </c>
      <c r="AE36" s="31">
        <v>-102</v>
      </c>
      <c r="AF36" s="31" t="s">
        <v>55</v>
      </c>
      <c r="AG36" s="31">
        <v>-1</v>
      </c>
      <c r="AH36" s="31" t="s">
        <v>54</v>
      </c>
      <c r="AI36" s="31">
        <v>6</v>
      </c>
      <c r="AJ36" s="31" t="s">
        <v>53</v>
      </c>
      <c r="AK36" s="31">
        <v>13</v>
      </c>
      <c r="AL36" s="31" t="s">
        <v>53</v>
      </c>
      <c r="AM36" s="31">
        <v>-120</v>
      </c>
      <c r="AN36" s="31" t="s">
        <v>55</v>
      </c>
      <c r="AO36" s="31">
        <v>-120</v>
      </c>
      <c r="AP36" s="31" t="s">
        <v>55</v>
      </c>
      <c r="AQ36" s="31">
        <v>-115</v>
      </c>
      <c r="AR36" s="31" t="s">
        <v>55</v>
      </c>
      <c r="AS36" s="31">
        <v>-108</v>
      </c>
      <c r="AT36" s="31" t="s">
        <v>55</v>
      </c>
      <c r="AU36" s="31" t="s">
        <v>59</v>
      </c>
    </row>
    <row r="37" spans="2:47" s="31" customFormat="1" ht="374.4" x14ac:dyDescent="0.3">
      <c r="B37" s="50">
        <v>10</v>
      </c>
      <c r="C37" s="33" t="s">
        <v>102</v>
      </c>
      <c r="D37" s="33"/>
      <c r="E37" s="33" t="s">
        <v>151</v>
      </c>
      <c r="F37" s="130" t="s">
        <v>152</v>
      </c>
      <c r="G37" s="126">
        <v>1117663079</v>
      </c>
      <c r="H37" s="41">
        <v>667</v>
      </c>
      <c r="I37" s="41">
        <f>_xlfn.XLOOKUP(E37,'[2]Database MK'!$E$237:$E$344,'[2]Database MK'!$W$237:$W$344)</f>
        <v>574.20000000000005</v>
      </c>
      <c r="J37" s="48">
        <f t="shared" si="2"/>
        <v>92.799999999999955</v>
      </c>
      <c r="K37" s="49">
        <f t="shared" si="0"/>
        <v>0.86086956521739133</v>
      </c>
      <c r="L37" s="50" t="s">
        <v>153</v>
      </c>
      <c r="M37" s="50" t="s">
        <v>62</v>
      </c>
      <c r="N37" s="102" t="s">
        <v>154</v>
      </c>
      <c r="O37" s="102" t="s">
        <v>639</v>
      </c>
      <c r="P37" s="69" t="s">
        <v>584</v>
      </c>
      <c r="Q37" s="113">
        <v>46135</v>
      </c>
      <c r="R37" s="114">
        <v>45956</v>
      </c>
      <c r="S37" s="31">
        <f t="shared" si="1"/>
        <v>-179</v>
      </c>
      <c r="U37" s="31">
        <v>45</v>
      </c>
      <c r="V37" s="31" t="s">
        <v>53</v>
      </c>
      <c r="W37" s="31">
        <v>40</v>
      </c>
      <c r="X37" s="31" t="s">
        <v>53</v>
      </c>
      <c r="Y37" s="31">
        <v>60</v>
      </c>
      <c r="Z37" s="31" t="s">
        <v>53</v>
      </c>
      <c r="AA37" s="31">
        <v>81</v>
      </c>
      <c r="AB37" s="31" t="s">
        <v>53</v>
      </c>
      <c r="AC37" s="31">
        <v>11</v>
      </c>
      <c r="AD37" s="31" t="s">
        <v>53</v>
      </c>
      <c r="AE37" s="31">
        <v>-141</v>
      </c>
      <c r="AF37" s="31" t="s">
        <v>55</v>
      </c>
      <c r="AG37" s="31">
        <v>34</v>
      </c>
      <c r="AH37" s="31" t="s">
        <v>53</v>
      </c>
      <c r="AI37" s="31">
        <v>41</v>
      </c>
      <c r="AJ37" s="31" t="s">
        <v>53</v>
      </c>
      <c r="AK37" s="31">
        <v>41</v>
      </c>
      <c r="AL37" s="31" t="s">
        <v>53</v>
      </c>
      <c r="AM37" s="31">
        <v>-120</v>
      </c>
      <c r="AN37" s="31" t="s">
        <v>55</v>
      </c>
      <c r="AO37" s="31">
        <v>-127</v>
      </c>
      <c r="AP37" s="31" t="s">
        <v>55</v>
      </c>
      <c r="AQ37" s="31">
        <v>-115</v>
      </c>
      <c r="AR37" s="31" t="s">
        <v>55</v>
      </c>
      <c r="AS37" s="31">
        <v>-108</v>
      </c>
      <c r="AT37" s="31" t="s">
        <v>55</v>
      </c>
      <c r="AU37" s="31" t="s">
        <v>56</v>
      </c>
    </row>
    <row r="38" spans="2:47" s="31" customFormat="1" ht="372.45" customHeight="1" x14ac:dyDescent="0.3">
      <c r="B38" s="50">
        <v>11</v>
      </c>
      <c r="C38" s="33" t="s">
        <v>102</v>
      </c>
      <c r="D38" s="33"/>
      <c r="E38" s="33" t="s">
        <v>155</v>
      </c>
      <c r="F38" s="130" t="s">
        <v>156</v>
      </c>
      <c r="G38" s="126">
        <v>2140671314</v>
      </c>
      <c r="H38" s="41">
        <v>375</v>
      </c>
      <c r="I38" s="41">
        <f>_xlfn.XLOOKUP(E38,'[2]Database MK'!$E$237:$E$344,'[2]Database MK'!$W$237:$W$344)</f>
        <v>380.5</v>
      </c>
      <c r="J38" s="48">
        <f t="shared" si="2"/>
        <v>-5.5</v>
      </c>
      <c r="K38" s="49">
        <f t="shared" si="0"/>
        <v>1.0146666666666666</v>
      </c>
      <c r="L38" s="50" t="s">
        <v>153</v>
      </c>
      <c r="M38" s="50" t="s">
        <v>62</v>
      </c>
      <c r="N38" s="102" t="s">
        <v>157</v>
      </c>
      <c r="O38" s="33" t="s">
        <v>640</v>
      </c>
      <c r="P38" s="69" t="s">
        <v>585</v>
      </c>
      <c r="Q38" s="113">
        <v>46135</v>
      </c>
      <c r="R38" s="114">
        <v>45956</v>
      </c>
      <c r="S38" s="31">
        <f t="shared" si="1"/>
        <v>-179</v>
      </c>
      <c r="U38" s="31">
        <v>45</v>
      </c>
      <c r="V38" s="31" t="s">
        <v>53</v>
      </c>
      <c r="W38" s="31">
        <v>40</v>
      </c>
      <c r="X38" s="31" t="s">
        <v>53</v>
      </c>
      <c r="Y38" s="31">
        <v>61</v>
      </c>
      <c r="Z38" s="31" t="s">
        <v>53</v>
      </c>
      <c r="AA38" s="31">
        <v>81</v>
      </c>
      <c r="AB38" s="31" t="s">
        <v>53</v>
      </c>
      <c r="AC38" s="31">
        <v>11</v>
      </c>
      <c r="AD38" s="31" t="s">
        <v>53</v>
      </c>
      <c r="AE38" s="31">
        <v>-141</v>
      </c>
      <c r="AF38" s="31" t="s">
        <v>55</v>
      </c>
      <c r="AG38" s="31">
        <v>34</v>
      </c>
      <c r="AH38" s="31" t="s">
        <v>53</v>
      </c>
      <c r="AI38" s="31">
        <v>41</v>
      </c>
      <c r="AJ38" s="31" t="s">
        <v>53</v>
      </c>
      <c r="AK38" s="31">
        <v>41</v>
      </c>
      <c r="AL38" s="31" t="s">
        <v>53</v>
      </c>
      <c r="AM38" s="31">
        <v>-120</v>
      </c>
      <c r="AN38" s="31" t="s">
        <v>55</v>
      </c>
      <c r="AO38" s="31">
        <v>-127</v>
      </c>
      <c r="AP38" s="31" t="s">
        <v>55</v>
      </c>
      <c r="AQ38" s="31">
        <v>-115</v>
      </c>
      <c r="AR38" s="31" t="s">
        <v>55</v>
      </c>
      <c r="AS38" s="31">
        <v>-108</v>
      </c>
      <c r="AT38" s="31" t="s">
        <v>55</v>
      </c>
      <c r="AU38" s="31" t="s">
        <v>59</v>
      </c>
    </row>
    <row r="39" spans="2:47" s="31" customFormat="1" ht="229.5" customHeight="1" x14ac:dyDescent="0.3">
      <c r="B39" s="50">
        <v>1</v>
      </c>
      <c r="C39" s="33" t="s">
        <v>102</v>
      </c>
      <c r="D39" s="33"/>
      <c r="E39" s="33" t="s">
        <v>158</v>
      </c>
      <c r="F39" s="33" t="s">
        <v>159</v>
      </c>
      <c r="G39" s="126">
        <v>6653875358</v>
      </c>
      <c r="H39" s="117">
        <v>4259</v>
      </c>
      <c r="I39" s="41">
        <f>_xlfn.XLOOKUP(E39,'[2]Database MK'!$E$237:$E$344,'[2]Database MK'!$W$237:$W$344)</f>
        <v>3705.66</v>
      </c>
      <c r="J39" s="48"/>
      <c r="K39" s="49">
        <v>1</v>
      </c>
      <c r="L39" s="50" t="s">
        <v>153</v>
      </c>
      <c r="M39" s="50" t="s">
        <v>624</v>
      </c>
      <c r="N39" s="102" t="s">
        <v>160</v>
      </c>
      <c r="O39" s="33" t="s">
        <v>527</v>
      </c>
      <c r="P39" s="69" t="s">
        <v>507</v>
      </c>
      <c r="Q39" s="113">
        <v>46114</v>
      </c>
      <c r="R39" s="114">
        <v>45956</v>
      </c>
      <c r="S39" s="31">
        <f t="shared" si="1"/>
        <v>-158</v>
      </c>
      <c r="U39" s="31">
        <v>45</v>
      </c>
      <c r="V39" s="31" t="s">
        <v>53</v>
      </c>
      <c r="W39" s="31">
        <v>34</v>
      </c>
      <c r="X39" s="31" t="s">
        <v>53</v>
      </c>
      <c r="Y39" s="31">
        <v>11</v>
      </c>
      <c r="Z39" s="31" t="s">
        <v>53</v>
      </c>
      <c r="AA39" s="31">
        <v>32</v>
      </c>
      <c r="AB39" s="31" t="s">
        <v>53</v>
      </c>
      <c r="AC39" s="31">
        <v>-22</v>
      </c>
      <c r="AD39" s="31" t="s">
        <v>54</v>
      </c>
      <c r="AE39" s="31">
        <v>-141</v>
      </c>
      <c r="AF39" s="31" t="s">
        <v>55</v>
      </c>
      <c r="AG39" s="31">
        <v>8</v>
      </c>
      <c r="AH39" s="31" t="s">
        <v>53</v>
      </c>
      <c r="AI39" s="31">
        <v>15</v>
      </c>
      <c r="AJ39" s="31" t="s">
        <v>53</v>
      </c>
      <c r="AK39" s="31">
        <v>9</v>
      </c>
      <c r="AL39" s="31" t="s">
        <v>53</v>
      </c>
      <c r="AM39" s="31">
        <v>-29</v>
      </c>
      <c r="AN39" s="31" t="s">
        <v>55</v>
      </c>
      <c r="AO39" s="31">
        <v>-43</v>
      </c>
      <c r="AP39" s="31" t="s">
        <v>55</v>
      </c>
      <c r="AQ39" s="31">
        <v>-24</v>
      </c>
      <c r="AR39" s="31" t="s">
        <v>55</v>
      </c>
      <c r="AS39" s="31">
        <v>-8</v>
      </c>
      <c r="AT39" s="31" t="s">
        <v>55</v>
      </c>
      <c r="AU39" s="31" t="s">
        <v>59</v>
      </c>
    </row>
    <row r="40" spans="2:47" s="31" customFormat="1" ht="218.4" x14ac:dyDescent="0.3">
      <c r="B40" s="50">
        <v>12</v>
      </c>
      <c r="C40" s="33" t="s">
        <v>102</v>
      </c>
      <c r="D40" s="33"/>
      <c r="E40" s="33" t="s">
        <v>161</v>
      </c>
      <c r="F40" s="33" t="s">
        <v>162</v>
      </c>
      <c r="G40" s="126">
        <v>263884511</v>
      </c>
      <c r="H40" s="41">
        <v>116</v>
      </c>
      <c r="I40" s="41">
        <f>_xlfn.XLOOKUP(E40,'[2]Database MK'!$E$237:$E$344,'[2]Database MK'!$W$237:$W$344)</f>
        <v>121.8</v>
      </c>
      <c r="J40" s="48"/>
      <c r="K40" s="49">
        <v>1</v>
      </c>
      <c r="L40" s="50" t="s">
        <v>51</v>
      </c>
      <c r="M40" s="50" t="s">
        <v>499</v>
      </c>
      <c r="N40" s="102" t="s">
        <v>163</v>
      </c>
      <c r="O40" s="102" t="s">
        <v>529</v>
      </c>
      <c r="P40" s="69" t="s">
        <v>528</v>
      </c>
      <c r="Q40" s="113">
        <v>46147</v>
      </c>
      <c r="R40" s="114">
        <v>45984</v>
      </c>
      <c r="S40" s="31">
        <f t="shared" si="1"/>
        <v>-163</v>
      </c>
      <c r="U40" s="31">
        <v>34</v>
      </c>
      <c r="V40" s="31" t="s">
        <v>53</v>
      </c>
      <c r="W40" s="31">
        <v>27</v>
      </c>
      <c r="X40" s="31" t="s">
        <v>53</v>
      </c>
      <c r="Y40" s="31">
        <v>-8</v>
      </c>
      <c r="Z40" s="31" t="s">
        <v>54</v>
      </c>
      <c r="AA40" s="31">
        <v>13</v>
      </c>
      <c r="AB40" s="31" t="s">
        <v>53</v>
      </c>
      <c r="AC40" s="31">
        <v>4</v>
      </c>
      <c r="AD40" s="31" t="s">
        <v>53</v>
      </c>
      <c r="AE40" s="31">
        <v>-113</v>
      </c>
      <c r="AF40" s="31" t="s">
        <v>55</v>
      </c>
      <c r="AG40" s="31">
        <v>-1</v>
      </c>
      <c r="AH40" s="31" t="s">
        <v>54</v>
      </c>
      <c r="AI40" s="31">
        <v>6</v>
      </c>
      <c r="AJ40" s="31" t="s">
        <v>53</v>
      </c>
      <c r="AK40" s="31">
        <v>13</v>
      </c>
      <c r="AL40" s="31" t="s">
        <v>53</v>
      </c>
      <c r="AM40" s="31">
        <v>-120</v>
      </c>
      <c r="AN40" s="31" t="s">
        <v>55</v>
      </c>
      <c r="AO40" s="31">
        <v>-120</v>
      </c>
      <c r="AP40" s="31" t="s">
        <v>55</v>
      </c>
      <c r="AQ40" s="31">
        <v>-115</v>
      </c>
      <c r="AR40" s="31" t="s">
        <v>55</v>
      </c>
      <c r="AS40" s="31">
        <v>-108</v>
      </c>
      <c r="AT40" s="31" t="s">
        <v>55</v>
      </c>
      <c r="AU40" s="31" t="s">
        <v>59</v>
      </c>
    </row>
    <row r="41" spans="2:47" s="31" customFormat="1" ht="312" x14ac:dyDescent="0.3">
      <c r="B41" s="50">
        <v>5</v>
      </c>
      <c r="C41" s="33" t="s">
        <v>102</v>
      </c>
      <c r="D41" s="33"/>
      <c r="E41" s="33" t="s">
        <v>164</v>
      </c>
      <c r="F41" s="33" t="s">
        <v>165</v>
      </c>
      <c r="G41" s="126">
        <v>431444798</v>
      </c>
      <c r="H41" s="41">
        <v>317</v>
      </c>
      <c r="I41" s="41">
        <f>_xlfn.XLOOKUP(E41,'[2]Database MK'!$E$237:$E$344,'[2]Database MK'!$W$237:$W$344)</f>
        <v>262</v>
      </c>
      <c r="J41" s="48"/>
      <c r="K41" s="49">
        <v>1</v>
      </c>
      <c r="L41" s="50" t="s">
        <v>51</v>
      </c>
      <c r="M41" s="50" t="s">
        <v>146</v>
      </c>
      <c r="N41" s="102" t="s">
        <v>166</v>
      </c>
      <c r="O41" s="33" t="s">
        <v>623</v>
      </c>
      <c r="P41" s="69" t="s">
        <v>508</v>
      </c>
      <c r="Q41" s="113">
        <v>46114</v>
      </c>
      <c r="R41" s="114">
        <v>45991</v>
      </c>
      <c r="S41" s="31">
        <f t="shared" si="1"/>
        <v>-123</v>
      </c>
      <c r="U41" s="31">
        <v>28</v>
      </c>
      <c r="V41" s="31" t="s">
        <v>53</v>
      </c>
      <c r="W41" s="31">
        <v>-33</v>
      </c>
      <c r="X41" s="31" t="s">
        <v>54</v>
      </c>
      <c r="Y41" s="31">
        <v>-8</v>
      </c>
      <c r="Z41" s="31" t="s">
        <v>54</v>
      </c>
      <c r="AA41" s="31">
        <v>20</v>
      </c>
      <c r="AB41" s="31" t="s">
        <v>53</v>
      </c>
      <c r="AC41" s="31">
        <v>-3</v>
      </c>
      <c r="AD41" s="31" t="s">
        <v>54</v>
      </c>
      <c r="AE41" s="31">
        <v>-106</v>
      </c>
      <c r="AF41" s="31" t="s">
        <v>55</v>
      </c>
      <c r="AG41" s="31">
        <v>43</v>
      </c>
      <c r="AH41" s="31" t="s">
        <v>53</v>
      </c>
      <c r="AI41" s="31">
        <v>50</v>
      </c>
      <c r="AJ41" s="31" t="s">
        <v>53</v>
      </c>
      <c r="AK41" s="31">
        <v>33</v>
      </c>
      <c r="AL41" s="31" t="s">
        <v>53</v>
      </c>
      <c r="AM41" s="31">
        <v>-92</v>
      </c>
      <c r="AN41" s="31" t="s">
        <v>55</v>
      </c>
      <c r="AO41" s="31">
        <v>-99</v>
      </c>
      <c r="AP41" s="31" t="s">
        <v>55</v>
      </c>
      <c r="AQ41" s="31">
        <v>-87</v>
      </c>
      <c r="AR41" s="31" t="s">
        <v>55</v>
      </c>
      <c r="AS41" s="31">
        <v>-80</v>
      </c>
      <c r="AT41" s="31" t="s">
        <v>55</v>
      </c>
      <c r="AU41" s="31" t="s">
        <v>59</v>
      </c>
    </row>
    <row r="42" spans="2:47" s="31" customFormat="1" ht="218.4" x14ac:dyDescent="0.3">
      <c r="B42" s="50">
        <v>13</v>
      </c>
      <c r="C42" s="33" t="s">
        <v>102</v>
      </c>
      <c r="D42" s="33"/>
      <c r="E42" s="33" t="s">
        <v>167</v>
      </c>
      <c r="F42" s="33" t="s">
        <v>168</v>
      </c>
      <c r="G42" s="126">
        <v>422044898</v>
      </c>
      <c r="H42" s="41">
        <v>234</v>
      </c>
      <c r="I42" s="41">
        <f>_xlfn.XLOOKUP(E42,'[2]Database MK'!$E$237:$E$344,'[2]Database MK'!$W$237:$W$344)</f>
        <v>268.60000000000002</v>
      </c>
      <c r="J42" s="48"/>
      <c r="K42" s="49">
        <v>1</v>
      </c>
      <c r="L42" s="50" t="s">
        <v>51</v>
      </c>
      <c r="M42" s="50" t="s">
        <v>624</v>
      </c>
      <c r="N42" s="102" t="s">
        <v>169</v>
      </c>
      <c r="O42" s="33" t="s">
        <v>531</v>
      </c>
      <c r="P42" s="69" t="s">
        <v>530</v>
      </c>
      <c r="Q42" s="113">
        <v>46146</v>
      </c>
      <c r="R42" s="114">
        <v>46047</v>
      </c>
      <c r="S42" s="31">
        <f t="shared" si="1"/>
        <v>-99</v>
      </c>
      <c r="U42" s="31">
        <v>17</v>
      </c>
      <c r="V42" s="31" t="s">
        <v>53</v>
      </c>
      <c r="W42" s="31">
        <v>10</v>
      </c>
      <c r="X42" s="31" t="s">
        <v>53</v>
      </c>
      <c r="Y42" s="31">
        <v>88</v>
      </c>
      <c r="Z42" s="31" t="s">
        <v>53</v>
      </c>
      <c r="AA42" s="31">
        <v>109</v>
      </c>
      <c r="AB42" s="31" t="s">
        <v>53</v>
      </c>
      <c r="AC42" s="31">
        <v>93</v>
      </c>
      <c r="AD42" s="31" t="s">
        <v>53</v>
      </c>
      <c r="AE42" s="31">
        <v>-50</v>
      </c>
      <c r="AF42" s="31" t="s">
        <v>55</v>
      </c>
      <c r="AG42" s="31">
        <v>99</v>
      </c>
      <c r="AH42" s="31" t="s">
        <v>53</v>
      </c>
      <c r="AI42" s="31">
        <v>106</v>
      </c>
      <c r="AJ42" s="31" t="s">
        <v>53</v>
      </c>
      <c r="AK42" s="31">
        <v>103</v>
      </c>
      <c r="AL42" s="31" t="s">
        <v>53</v>
      </c>
      <c r="AM42" s="31">
        <v>-57</v>
      </c>
      <c r="AN42" s="31" t="s">
        <v>55</v>
      </c>
      <c r="AO42" s="31">
        <v>-64</v>
      </c>
      <c r="AP42" s="31" t="s">
        <v>55</v>
      </c>
      <c r="AQ42" s="31">
        <v>-59</v>
      </c>
      <c r="AR42" s="31" t="s">
        <v>55</v>
      </c>
      <c r="AS42" s="31">
        <v>-52</v>
      </c>
      <c r="AT42" s="31" t="s">
        <v>55</v>
      </c>
      <c r="AU42" s="31" t="s">
        <v>59</v>
      </c>
    </row>
    <row r="43" spans="2:47" s="31" customFormat="1" ht="305.55" customHeight="1" x14ac:dyDescent="0.3">
      <c r="B43" s="50">
        <v>1</v>
      </c>
      <c r="C43" s="33" t="s">
        <v>170</v>
      </c>
      <c r="D43" s="33"/>
      <c r="E43" s="33" t="s">
        <v>171</v>
      </c>
      <c r="F43" s="33" t="s">
        <v>172</v>
      </c>
      <c r="G43" s="126">
        <v>574183224</v>
      </c>
      <c r="H43" s="41">
        <v>318</v>
      </c>
      <c r="I43" s="41">
        <f>_xlfn.XLOOKUP(E43,'[2]Database MK'!$E$237:$E$344,'[2]Database MK'!$W$237:$W$344)</f>
        <v>431</v>
      </c>
      <c r="J43" s="48"/>
      <c r="K43" s="49">
        <v>1</v>
      </c>
      <c r="L43" s="50" t="s">
        <v>67</v>
      </c>
      <c r="M43" s="50" t="s">
        <v>499</v>
      </c>
      <c r="N43" s="102" t="s">
        <v>173</v>
      </c>
      <c r="O43" s="120" t="s">
        <v>568</v>
      </c>
      <c r="P43" s="103" t="s">
        <v>569</v>
      </c>
      <c r="Q43" s="113">
        <v>46094</v>
      </c>
      <c r="R43" s="114">
        <v>45928</v>
      </c>
      <c r="S43" s="31">
        <f t="shared" si="1"/>
        <v>-166</v>
      </c>
      <c r="U43" s="31">
        <v>33</v>
      </c>
      <c r="V43" s="31" t="s">
        <v>53</v>
      </c>
      <c r="W43" s="31">
        <v>27</v>
      </c>
      <c r="X43" s="31" t="s">
        <v>53</v>
      </c>
      <c r="Y43" s="31">
        <v>3</v>
      </c>
      <c r="Z43" s="31" t="s">
        <v>53</v>
      </c>
      <c r="AA43" s="31">
        <v>32</v>
      </c>
      <c r="AB43" s="31" t="s">
        <v>53</v>
      </c>
      <c r="AC43" s="31">
        <v>-37</v>
      </c>
      <c r="AD43" s="31" t="s">
        <v>54</v>
      </c>
      <c r="AE43" s="31">
        <v>-160</v>
      </c>
      <c r="AF43" s="31" t="s">
        <v>55</v>
      </c>
      <c r="AG43" s="31">
        <v>-48</v>
      </c>
      <c r="AH43" s="31" t="s">
        <v>54</v>
      </c>
      <c r="AI43" s="31">
        <v>-41</v>
      </c>
      <c r="AJ43" s="31" t="s">
        <v>54</v>
      </c>
      <c r="AK43" s="31">
        <v>-33</v>
      </c>
      <c r="AL43" s="31" t="s">
        <v>54</v>
      </c>
      <c r="AM43" s="31">
        <v>-183</v>
      </c>
      <c r="AN43" s="31" t="s">
        <v>55</v>
      </c>
      <c r="AO43" s="31">
        <v>-183</v>
      </c>
      <c r="AP43" s="31" t="s">
        <v>55</v>
      </c>
      <c r="AQ43" s="31">
        <v>-178</v>
      </c>
      <c r="AR43" s="31" t="s">
        <v>55</v>
      </c>
      <c r="AS43" s="31">
        <v>-171</v>
      </c>
      <c r="AT43" s="31" t="s">
        <v>55</v>
      </c>
      <c r="AU43" s="31" t="s">
        <v>59</v>
      </c>
    </row>
    <row r="44" spans="2:47" s="31" customFormat="1" ht="156" x14ac:dyDescent="0.3">
      <c r="B44" s="50">
        <v>2</v>
      </c>
      <c r="C44" s="33" t="s">
        <v>170</v>
      </c>
      <c r="D44" s="33"/>
      <c r="E44" s="33" t="s">
        <v>174</v>
      </c>
      <c r="F44" s="33" t="s">
        <v>175</v>
      </c>
      <c r="G44" s="126">
        <v>451317929</v>
      </c>
      <c r="H44" s="41">
        <v>365</v>
      </c>
      <c r="I44" s="41">
        <f>_xlfn.XLOOKUP(E44,'[2]Database MK'!$E$237:$E$344,'[2]Database MK'!$W$237:$W$344)</f>
        <v>715</v>
      </c>
      <c r="J44" s="48"/>
      <c r="K44" s="49">
        <v>1</v>
      </c>
      <c r="L44" s="50" t="s">
        <v>51</v>
      </c>
      <c r="M44" s="50" t="s">
        <v>499</v>
      </c>
      <c r="N44" s="102" t="s">
        <v>176</v>
      </c>
      <c r="O44" s="102" t="s">
        <v>566</v>
      </c>
      <c r="P44" s="103" t="s">
        <v>567</v>
      </c>
      <c r="Q44" s="113">
        <v>46094</v>
      </c>
      <c r="R44" s="114">
        <v>45928</v>
      </c>
      <c r="S44" s="31">
        <f t="shared" si="1"/>
        <v>-166</v>
      </c>
      <c r="U44" s="31">
        <v>33</v>
      </c>
      <c r="V44" s="31" t="s">
        <v>53</v>
      </c>
      <c r="W44" s="31">
        <v>27</v>
      </c>
      <c r="X44" s="31" t="s">
        <v>53</v>
      </c>
      <c r="Y44" s="31">
        <v>32</v>
      </c>
      <c r="Z44" s="31" t="s">
        <v>53</v>
      </c>
      <c r="AA44" s="31">
        <v>60</v>
      </c>
      <c r="AB44" s="31" t="s">
        <v>53</v>
      </c>
      <c r="AC44" s="31">
        <v>11</v>
      </c>
      <c r="AD44" s="31" t="s">
        <v>53</v>
      </c>
      <c r="AE44" s="31">
        <v>-162</v>
      </c>
      <c r="AF44" s="31" t="s">
        <v>55</v>
      </c>
      <c r="AG44" s="31">
        <v>-49</v>
      </c>
      <c r="AH44" s="31" t="s">
        <v>54</v>
      </c>
      <c r="AI44" s="31">
        <v>-42</v>
      </c>
      <c r="AJ44" s="31" t="s">
        <v>54</v>
      </c>
      <c r="AK44" s="31">
        <v>-43</v>
      </c>
      <c r="AL44" s="31" t="s">
        <v>54</v>
      </c>
      <c r="AM44" s="31">
        <v>-183</v>
      </c>
      <c r="AN44" s="31" t="s">
        <v>55</v>
      </c>
      <c r="AO44" s="31">
        <v>-183</v>
      </c>
      <c r="AP44" s="31" t="s">
        <v>55</v>
      </c>
      <c r="AQ44" s="31">
        <v>-178</v>
      </c>
      <c r="AR44" s="31" t="s">
        <v>55</v>
      </c>
      <c r="AS44" s="31">
        <v>-171</v>
      </c>
      <c r="AT44" s="31" t="s">
        <v>55</v>
      </c>
      <c r="AU44" s="31" t="s">
        <v>59</v>
      </c>
    </row>
    <row r="45" spans="2:47" s="31" customFormat="1" ht="312" x14ac:dyDescent="0.3">
      <c r="B45" s="50">
        <v>1</v>
      </c>
      <c r="C45" s="33" t="s">
        <v>170</v>
      </c>
      <c r="D45" s="33"/>
      <c r="E45" s="33" t="s">
        <v>177</v>
      </c>
      <c r="F45" s="33" t="s">
        <v>178</v>
      </c>
      <c r="G45" s="126">
        <v>20589661159</v>
      </c>
      <c r="H45" s="117">
        <v>10695</v>
      </c>
      <c r="I45" s="41">
        <f>_xlfn.XLOOKUP(E45,'[2]Database MK'!$E$237:$E$344,'[2]Database MK'!$W$237:$W$344)</f>
        <v>10434</v>
      </c>
      <c r="J45" s="48"/>
      <c r="K45" s="49">
        <v>1</v>
      </c>
      <c r="L45" s="50" t="s">
        <v>71</v>
      </c>
      <c r="M45" s="50" t="s">
        <v>14</v>
      </c>
      <c r="N45" s="102" t="s">
        <v>179</v>
      </c>
      <c r="O45" s="102" t="s">
        <v>223</v>
      </c>
      <c r="P45" s="103" t="s">
        <v>494</v>
      </c>
      <c r="Q45" s="113">
        <v>46153</v>
      </c>
      <c r="R45" s="114">
        <v>45928</v>
      </c>
      <c r="S45" s="31">
        <f t="shared" si="1"/>
        <v>-225</v>
      </c>
      <c r="U45" s="31">
        <v>33</v>
      </c>
      <c r="V45" s="31" t="s">
        <v>53</v>
      </c>
      <c r="W45" s="31">
        <v>27</v>
      </c>
      <c r="X45" s="31" t="s">
        <v>53</v>
      </c>
      <c r="Y45" s="31">
        <v>32</v>
      </c>
      <c r="Z45" s="31" t="s">
        <v>53</v>
      </c>
      <c r="AA45" s="31">
        <v>60</v>
      </c>
      <c r="AB45" s="31" t="s">
        <v>53</v>
      </c>
      <c r="AC45" s="31">
        <v>11</v>
      </c>
      <c r="AD45" s="31" t="s">
        <v>53</v>
      </c>
      <c r="AE45" s="31">
        <v>-163</v>
      </c>
      <c r="AF45" s="31" t="s">
        <v>55</v>
      </c>
      <c r="AG45" s="31">
        <v>-49</v>
      </c>
      <c r="AH45" s="31" t="s">
        <v>54</v>
      </c>
      <c r="AI45" s="31">
        <v>-42</v>
      </c>
      <c r="AJ45" s="31" t="s">
        <v>54</v>
      </c>
      <c r="AK45" s="31">
        <v>-38</v>
      </c>
      <c r="AL45" s="31" t="s">
        <v>54</v>
      </c>
      <c r="AM45" s="31">
        <v>-64</v>
      </c>
      <c r="AN45" s="31" t="s">
        <v>55</v>
      </c>
      <c r="AO45" s="31">
        <v>-78</v>
      </c>
      <c r="AP45" s="31" t="s">
        <v>55</v>
      </c>
      <c r="AQ45" s="31">
        <v>-59</v>
      </c>
      <c r="AR45" s="31" t="s">
        <v>55</v>
      </c>
      <c r="AS45" s="31">
        <v>-52</v>
      </c>
      <c r="AT45" s="31" t="s">
        <v>55</v>
      </c>
      <c r="AU45" s="31" t="s">
        <v>59</v>
      </c>
    </row>
    <row r="46" spans="2:47" s="31" customFormat="1" ht="409.6" customHeight="1" x14ac:dyDescent="0.3">
      <c r="B46" s="50">
        <v>3</v>
      </c>
      <c r="C46" s="33" t="s">
        <v>170</v>
      </c>
      <c r="D46" s="33"/>
      <c r="E46" s="33" t="s">
        <v>180</v>
      </c>
      <c r="F46" s="130" t="s">
        <v>181</v>
      </c>
      <c r="G46" s="126">
        <v>90555389652</v>
      </c>
      <c r="H46" s="117">
        <v>6155</v>
      </c>
      <c r="I46" s="41">
        <f>_xlfn.XLOOKUP(E46,'[2]Database MK'!$E$237:$E$344,'[2]Database MK'!$W$237:$W$344)</f>
        <v>6393</v>
      </c>
      <c r="J46" s="48">
        <f t="shared" si="2"/>
        <v>-238</v>
      </c>
      <c r="K46" s="49">
        <f t="shared" si="0"/>
        <v>1.038667749796913</v>
      </c>
      <c r="L46" s="50" t="s">
        <v>67</v>
      </c>
      <c r="M46" s="50" t="s">
        <v>50</v>
      </c>
      <c r="N46" s="102" t="s">
        <v>182</v>
      </c>
      <c r="O46" s="102" t="s">
        <v>619</v>
      </c>
      <c r="P46" s="103" t="s">
        <v>586</v>
      </c>
      <c r="Q46" s="121"/>
      <c r="R46" s="114">
        <v>45865</v>
      </c>
      <c r="S46" s="31">
        <f t="shared" si="1"/>
        <v>45865</v>
      </c>
      <c r="U46" s="31">
        <v>-5</v>
      </c>
      <c r="V46" s="31" t="s">
        <v>54</v>
      </c>
      <c r="W46" s="31">
        <v>-31</v>
      </c>
      <c r="X46" s="31" t="s">
        <v>54</v>
      </c>
      <c r="Y46" s="31">
        <v>-12</v>
      </c>
      <c r="Z46" s="31" t="s">
        <v>54</v>
      </c>
      <c r="AA46" s="31">
        <v>10</v>
      </c>
      <c r="AB46" s="31" t="s">
        <v>53</v>
      </c>
      <c r="AC46" s="31">
        <v>-10</v>
      </c>
      <c r="AD46" s="31" t="s">
        <v>54</v>
      </c>
      <c r="AE46" s="31">
        <v>-232</v>
      </c>
      <c r="AF46" s="31" t="s">
        <v>55</v>
      </c>
      <c r="AG46" s="31">
        <v>-41</v>
      </c>
      <c r="AH46" s="31" t="s">
        <v>54</v>
      </c>
      <c r="AI46" s="31">
        <v>-34</v>
      </c>
      <c r="AJ46" s="31" t="s">
        <v>54</v>
      </c>
      <c r="AK46" s="31">
        <v>-24</v>
      </c>
      <c r="AL46" s="31" t="s">
        <v>54</v>
      </c>
      <c r="AM46" s="31">
        <v>-120</v>
      </c>
      <c r="AN46" s="31" t="s">
        <v>55</v>
      </c>
      <c r="AO46" s="31">
        <v>-134</v>
      </c>
      <c r="AP46" s="31" t="s">
        <v>55</v>
      </c>
      <c r="AQ46" s="31">
        <v>-115</v>
      </c>
      <c r="AR46" s="31" t="s">
        <v>55</v>
      </c>
      <c r="AS46" s="31">
        <v>-107</v>
      </c>
      <c r="AT46" s="31" t="s">
        <v>55</v>
      </c>
      <c r="AU46" s="31" t="s">
        <v>56</v>
      </c>
    </row>
    <row r="47" spans="2:47" s="31" customFormat="1" ht="343.2" x14ac:dyDescent="0.3">
      <c r="B47" s="50">
        <v>4</v>
      </c>
      <c r="C47" s="33" t="s">
        <v>170</v>
      </c>
      <c r="D47" s="33"/>
      <c r="E47" s="33" t="s">
        <v>183</v>
      </c>
      <c r="F47" s="130" t="s">
        <v>184</v>
      </c>
      <c r="G47" s="126">
        <v>18074312563</v>
      </c>
      <c r="H47" s="117">
        <v>4940</v>
      </c>
      <c r="I47" s="41">
        <f>_xlfn.XLOOKUP(E47,'[2]Database MK'!$E$237:$E$344,'[2]Database MK'!$W$237:$W$344)</f>
        <v>4568</v>
      </c>
      <c r="J47" s="48">
        <f t="shared" si="2"/>
        <v>372</v>
      </c>
      <c r="K47" s="49">
        <f t="shared" si="0"/>
        <v>0.92469635627530367</v>
      </c>
      <c r="L47" s="50" t="s">
        <v>153</v>
      </c>
      <c r="M47" s="50" t="s">
        <v>50</v>
      </c>
      <c r="N47" s="102" t="s">
        <v>185</v>
      </c>
      <c r="O47" s="102" t="s">
        <v>621</v>
      </c>
      <c r="P47" s="103" t="s">
        <v>587</v>
      </c>
      <c r="Q47" s="113">
        <v>46133</v>
      </c>
      <c r="R47" s="114">
        <v>45956</v>
      </c>
      <c r="S47" s="31">
        <f t="shared" si="1"/>
        <v>-177</v>
      </c>
      <c r="U47" s="31">
        <v>44</v>
      </c>
      <c r="V47" s="31" t="s">
        <v>53</v>
      </c>
      <c r="W47" s="31">
        <v>34</v>
      </c>
      <c r="X47" s="31" t="s">
        <v>53</v>
      </c>
      <c r="Y47" s="31">
        <v>44</v>
      </c>
      <c r="Z47" s="31" t="s">
        <v>53</v>
      </c>
      <c r="AA47" s="31">
        <v>60</v>
      </c>
      <c r="AB47" s="31" t="s">
        <v>53</v>
      </c>
      <c r="AC47" s="31">
        <v>-9</v>
      </c>
      <c r="AD47" s="31" t="s">
        <v>54</v>
      </c>
      <c r="AE47" s="31">
        <v>-141</v>
      </c>
      <c r="AF47" s="31" t="s">
        <v>55</v>
      </c>
      <c r="AG47" s="31">
        <v>-7</v>
      </c>
      <c r="AH47" s="31" t="s">
        <v>54</v>
      </c>
      <c r="AI47" s="31">
        <v>-13</v>
      </c>
      <c r="AJ47" s="31" t="s">
        <v>54</v>
      </c>
      <c r="AK47" s="31">
        <v>-5</v>
      </c>
      <c r="AL47" s="31" t="s">
        <v>54</v>
      </c>
      <c r="AM47" s="31">
        <v>-92</v>
      </c>
      <c r="AN47" s="31" t="s">
        <v>55</v>
      </c>
      <c r="AO47" s="31">
        <v>-106</v>
      </c>
      <c r="AP47" s="31" t="s">
        <v>55</v>
      </c>
      <c r="AQ47" s="31">
        <v>-87</v>
      </c>
      <c r="AR47" s="31" t="s">
        <v>55</v>
      </c>
      <c r="AS47" s="31">
        <v>-80</v>
      </c>
      <c r="AT47" s="31" t="s">
        <v>55</v>
      </c>
      <c r="AU47" s="31" t="s">
        <v>56</v>
      </c>
    </row>
    <row r="48" spans="2:47" s="31" customFormat="1" ht="280.8" x14ac:dyDescent="0.3">
      <c r="B48" s="50">
        <v>5</v>
      </c>
      <c r="C48" s="33" t="s">
        <v>170</v>
      </c>
      <c r="D48" s="33"/>
      <c r="E48" s="33" t="s">
        <v>186</v>
      </c>
      <c r="F48" s="33" t="s">
        <v>187</v>
      </c>
      <c r="G48" s="126">
        <v>2502693494</v>
      </c>
      <c r="H48" s="41">
        <v>1242</v>
      </c>
      <c r="I48" s="41">
        <f>_xlfn.XLOOKUP(E48,'[2]Database MK'!$E$237:$E$344,'[2]Database MK'!$W$237:$W$344)</f>
        <v>1189</v>
      </c>
      <c r="J48" s="48"/>
      <c r="K48" s="49">
        <v>1</v>
      </c>
      <c r="L48" s="50" t="s">
        <v>51</v>
      </c>
      <c r="M48" s="50" t="s">
        <v>499</v>
      </c>
      <c r="N48" s="102" t="s">
        <v>188</v>
      </c>
      <c r="O48" s="102" t="s">
        <v>577</v>
      </c>
      <c r="P48" s="103" t="s">
        <v>576</v>
      </c>
      <c r="Q48" s="113">
        <v>46133</v>
      </c>
      <c r="R48" s="114">
        <v>45956</v>
      </c>
      <c r="S48" s="31">
        <f t="shared" si="1"/>
        <v>-177</v>
      </c>
      <c r="U48" s="31">
        <v>44</v>
      </c>
      <c r="V48" s="31" t="s">
        <v>53</v>
      </c>
      <c r="W48" s="31">
        <v>34</v>
      </c>
      <c r="X48" s="31" t="s">
        <v>53</v>
      </c>
      <c r="Y48" s="31">
        <v>44</v>
      </c>
      <c r="Z48" s="31" t="s">
        <v>53</v>
      </c>
      <c r="AA48" s="31">
        <v>60</v>
      </c>
      <c r="AB48" s="31" t="s">
        <v>53</v>
      </c>
      <c r="AC48" s="31">
        <v>11</v>
      </c>
      <c r="AD48" s="31" t="s">
        <v>53</v>
      </c>
      <c r="AE48" s="31">
        <v>-141</v>
      </c>
      <c r="AF48" s="31" t="s">
        <v>55</v>
      </c>
      <c r="AG48" s="31">
        <v>-7</v>
      </c>
      <c r="AH48" s="31" t="s">
        <v>54</v>
      </c>
      <c r="AI48" s="31">
        <v>-14</v>
      </c>
      <c r="AJ48" s="31" t="s">
        <v>54</v>
      </c>
      <c r="AK48" s="31">
        <v>-10</v>
      </c>
      <c r="AL48" s="31" t="s">
        <v>54</v>
      </c>
      <c r="AM48" s="31">
        <v>-120</v>
      </c>
      <c r="AN48" s="31" t="s">
        <v>55</v>
      </c>
      <c r="AO48" s="31">
        <v>-127</v>
      </c>
      <c r="AP48" s="31" t="s">
        <v>55</v>
      </c>
      <c r="AQ48" s="31">
        <v>-115</v>
      </c>
      <c r="AR48" s="31" t="s">
        <v>55</v>
      </c>
      <c r="AS48" s="31">
        <v>-108</v>
      </c>
      <c r="AT48" s="31" t="s">
        <v>55</v>
      </c>
      <c r="AU48" s="31" t="s">
        <v>59</v>
      </c>
    </row>
    <row r="49" spans="2:47" s="31" customFormat="1" ht="322.5" customHeight="1" x14ac:dyDescent="0.3">
      <c r="B49" s="50">
        <v>6</v>
      </c>
      <c r="C49" s="33" t="s">
        <v>170</v>
      </c>
      <c r="D49" s="33"/>
      <c r="E49" s="33" t="s">
        <v>189</v>
      </c>
      <c r="F49" s="33" t="s">
        <v>190</v>
      </c>
      <c r="G49" s="126">
        <v>494384995</v>
      </c>
      <c r="H49" s="41">
        <v>350</v>
      </c>
      <c r="I49" s="41">
        <f>_xlfn.XLOOKUP(E49,'[2]Database MK'!$E$237:$E$344,'[2]Database MK'!$W$237:$W$344)</f>
        <v>350</v>
      </c>
      <c r="J49" s="48"/>
      <c r="K49" s="49">
        <f t="shared" si="0"/>
        <v>1</v>
      </c>
      <c r="L49" s="50" t="s">
        <v>51</v>
      </c>
      <c r="M49" s="50" t="s">
        <v>499</v>
      </c>
      <c r="N49" s="102" t="s">
        <v>191</v>
      </c>
      <c r="O49" s="102" t="s">
        <v>579</v>
      </c>
      <c r="P49" s="103" t="s">
        <v>578</v>
      </c>
      <c r="Q49" s="113">
        <v>46142</v>
      </c>
      <c r="R49" s="114">
        <v>45991</v>
      </c>
      <c r="S49" s="31">
        <f t="shared" si="1"/>
        <v>-151</v>
      </c>
      <c r="U49" s="31">
        <v>-8</v>
      </c>
      <c r="V49" s="31" t="s">
        <v>54</v>
      </c>
      <c r="W49" s="31">
        <v>-22</v>
      </c>
      <c r="X49" s="31" t="s">
        <v>54</v>
      </c>
      <c r="Y49" s="31">
        <v>-2</v>
      </c>
      <c r="Z49" s="31" t="s">
        <v>54</v>
      </c>
      <c r="AA49" s="31">
        <v>26</v>
      </c>
      <c r="AB49" s="31" t="s">
        <v>53</v>
      </c>
      <c r="AC49" s="31">
        <v>17</v>
      </c>
      <c r="AD49" s="31" t="s">
        <v>53</v>
      </c>
      <c r="AE49" s="31">
        <v>-106</v>
      </c>
      <c r="AF49" s="31" t="s">
        <v>55</v>
      </c>
      <c r="AG49" s="31">
        <v>15</v>
      </c>
      <c r="AH49" s="31" t="s">
        <v>53</v>
      </c>
      <c r="AI49" s="31">
        <v>22</v>
      </c>
      <c r="AJ49" s="31" t="s">
        <v>53</v>
      </c>
      <c r="AK49" s="31">
        <v>30</v>
      </c>
      <c r="AL49" s="31" t="s">
        <v>53</v>
      </c>
      <c r="AM49" s="31">
        <v>-92</v>
      </c>
      <c r="AN49" s="31" t="s">
        <v>55</v>
      </c>
      <c r="AO49" s="31">
        <v>-99</v>
      </c>
      <c r="AP49" s="31" t="s">
        <v>55</v>
      </c>
      <c r="AQ49" s="31">
        <v>-87</v>
      </c>
      <c r="AR49" s="31" t="s">
        <v>55</v>
      </c>
      <c r="AS49" s="31">
        <v>-80</v>
      </c>
      <c r="AT49" s="31" t="s">
        <v>55</v>
      </c>
      <c r="AU49" s="31" t="s">
        <v>59</v>
      </c>
    </row>
    <row r="50" spans="2:47" s="31" customFormat="1" ht="280.8" x14ac:dyDescent="0.3">
      <c r="B50" s="50">
        <v>7</v>
      </c>
      <c r="C50" s="33" t="s">
        <v>170</v>
      </c>
      <c r="D50" s="33"/>
      <c r="E50" s="33" t="s">
        <v>192</v>
      </c>
      <c r="F50" s="33" t="s">
        <v>193</v>
      </c>
      <c r="G50" s="126">
        <v>235332171</v>
      </c>
      <c r="H50" s="117">
        <v>183</v>
      </c>
      <c r="I50" s="41">
        <f>_xlfn.XLOOKUP(E50,'[2]Database MK'!$E$237:$E$344,'[2]Database MK'!$W$237:$W$344)</f>
        <v>174</v>
      </c>
      <c r="J50" s="48"/>
      <c r="K50" s="49">
        <v>1</v>
      </c>
      <c r="L50" s="50" t="s">
        <v>67</v>
      </c>
      <c r="M50" s="50" t="s">
        <v>499</v>
      </c>
      <c r="N50" s="102" t="s">
        <v>194</v>
      </c>
      <c r="O50" s="102" t="s">
        <v>580</v>
      </c>
      <c r="P50" s="103" t="s">
        <v>565</v>
      </c>
      <c r="Q50" s="113">
        <v>46142</v>
      </c>
      <c r="R50" s="114">
        <v>45984</v>
      </c>
      <c r="S50" s="31">
        <f t="shared" si="1"/>
        <v>-158</v>
      </c>
      <c r="U50" s="31">
        <v>-9</v>
      </c>
      <c r="V50" s="31" t="s">
        <v>54</v>
      </c>
      <c r="W50" s="31">
        <v>-22</v>
      </c>
      <c r="X50" s="31" t="s">
        <v>54</v>
      </c>
      <c r="Y50" s="31">
        <v>-2</v>
      </c>
      <c r="Z50" s="31" t="s">
        <v>54</v>
      </c>
      <c r="AA50" s="31">
        <v>19</v>
      </c>
      <c r="AB50" s="31" t="s">
        <v>53</v>
      </c>
      <c r="AC50" s="31">
        <v>12</v>
      </c>
      <c r="AD50" s="31" t="s">
        <v>53</v>
      </c>
      <c r="AE50" s="31">
        <v>-113</v>
      </c>
      <c r="AF50" s="31" t="s">
        <v>55</v>
      </c>
      <c r="AG50" s="31">
        <v>-7</v>
      </c>
      <c r="AH50" s="31" t="s">
        <v>54</v>
      </c>
      <c r="AI50" s="31">
        <v>15</v>
      </c>
      <c r="AJ50" s="31" t="s">
        <v>53</v>
      </c>
      <c r="AK50" s="31">
        <v>23</v>
      </c>
      <c r="AL50" s="31" t="s">
        <v>53</v>
      </c>
      <c r="AM50" s="31">
        <v>-120</v>
      </c>
      <c r="AN50" s="31" t="s">
        <v>55</v>
      </c>
      <c r="AO50" s="31">
        <v>-120</v>
      </c>
      <c r="AP50" s="31" t="s">
        <v>55</v>
      </c>
      <c r="AQ50" s="31">
        <v>-115</v>
      </c>
      <c r="AR50" s="31" t="s">
        <v>55</v>
      </c>
      <c r="AS50" s="31">
        <v>-108</v>
      </c>
      <c r="AT50" s="31" t="s">
        <v>55</v>
      </c>
      <c r="AU50" s="31" t="s">
        <v>59</v>
      </c>
    </row>
    <row r="51" spans="2:47" s="31" customFormat="1" ht="218.4" x14ac:dyDescent="0.3">
      <c r="B51" s="50">
        <v>8</v>
      </c>
      <c r="C51" s="33" t="s">
        <v>170</v>
      </c>
      <c r="D51" s="33"/>
      <c r="E51" s="33" t="s">
        <v>195</v>
      </c>
      <c r="F51" s="130" t="s">
        <v>196</v>
      </c>
      <c r="G51" s="126">
        <v>1960724806</v>
      </c>
      <c r="H51" s="41">
        <v>739</v>
      </c>
      <c r="I51" s="41">
        <f>_xlfn.XLOOKUP(E51,'[2]Database MK'!$E$237:$E$344,'[2]Database MK'!$W$237:$W$344)</f>
        <v>569</v>
      </c>
      <c r="J51" s="48">
        <f t="shared" si="2"/>
        <v>170</v>
      </c>
      <c r="K51" s="49">
        <f t="shared" si="0"/>
        <v>0.76995940460081191</v>
      </c>
      <c r="L51" s="50" t="s">
        <v>51</v>
      </c>
      <c r="M51" s="50" t="s">
        <v>50</v>
      </c>
      <c r="N51" s="102" t="s">
        <v>197</v>
      </c>
      <c r="O51" s="102" t="s">
        <v>620</v>
      </c>
      <c r="P51" s="131" t="s">
        <v>587</v>
      </c>
      <c r="Q51" s="113">
        <v>46118</v>
      </c>
      <c r="R51" s="114">
        <v>45991</v>
      </c>
      <c r="S51" s="31">
        <f t="shared" si="1"/>
        <v>-127</v>
      </c>
      <c r="U51" s="31">
        <v>-8</v>
      </c>
      <c r="V51" s="31" t="s">
        <v>54</v>
      </c>
      <c r="W51" s="31">
        <v>-22</v>
      </c>
      <c r="X51" s="31" t="s">
        <v>54</v>
      </c>
      <c r="Y51" s="31">
        <v>-2</v>
      </c>
      <c r="Z51" s="31" t="s">
        <v>54</v>
      </c>
      <c r="AA51" s="31">
        <v>26</v>
      </c>
      <c r="AB51" s="31" t="s">
        <v>53</v>
      </c>
      <c r="AC51" s="31">
        <v>17</v>
      </c>
      <c r="AD51" s="31" t="s">
        <v>53</v>
      </c>
      <c r="AE51" s="31">
        <v>-106</v>
      </c>
      <c r="AF51" s="31" t="s">
        <v>55</v>
      </c>
      <c r="AG51" s="31">
        <v>-7</v>
      </c>
      <c r="AH51" s="31" t="s">
        <v>54</v>
      </c>
      <c r="AI51" s="31">
        <v>8</v>
      </c>
      <c r="AJ51" s="31" t="s">
        <v>53</v>
      </c>
      <c r="AK51" s="31">
        <v>16</v>
      </c>
      <c r="AL51" s="31" t="s">
        <v>53</v>
      </c>
      <c r="AM51" s="31">
        <v>-92</v>
      </c>
      <c r="AN51" s="31" t="s">
        <v>55</v>
      </c>
      <c r="AO51" s="31">
        <v>-99</v>
      </c>
      <c r="AP51" s="31" t="s">
        <v>55</v>
      </c>
      <c r="AQ51" s="31">
        <v>-87</v>
      </c>
      <c r="AR51" s="31" t="s">
        <v>55</v>
      </c>
      <c r="AS51" s="31">
        <v>-80</v>
      </c>
      <c r="AT51" s="31" t="s">
        <v>55</v>
      </c>
      <c r="AU51" s="31" t="s">
        <v>59</v>
      </c>
    </row>
    <row r="52" spans="2:47" s="31" customFormat="1" ht="124.8" x14ac:dyDescent="0.3">
      <c r="B52" s="50">
        <v>9</v>
      </c>
      <c r="C52" s="33" t="s">
        <v>170</v>
      </c>
      <c r="D52" s="33"/>
      <c r="E52" s="33" t="s">
        <v>198</v>
      </c>
      <c r="F52" s="130" t="s">
        <v>199</v>
      </c>
      <c r="G52" s="126">
        <v>126204245</v>
      </c>
      <c r="H52" s="117">
        <v>1</v>
      </c>
      <c r="I52" s="41"/>
      <c r="J52" s="48">
        <f t="shared" si="2"/>
        <v>1</v>
      </c>
      <c r="K52" s="49">
        <f t="shared" si="0"/>
        <v>0</v>
      </c>
      <c r="L52" s="50" t="s">
        <v>67</v>
      </c>
      <c r="M52" s="50" t="s">
        <v>111</v>
      </c>
      <c r="N52" s="102" t="s">
        <v>200</v>
      </c>
      <c r="O52" s="102" t="s">
        <v>619</v>
      </c>
      <c r="P52" s="131" t="s">
        <v>588</v>
      </c>
      <c r="Q52" s="121"/>
      <c r="R52" s="114">
        <v>45984</v>
      </c>
      <c r="S52" s="31">
        <f t="shared" si="1"/>
        <v>45984</v>
      </c>
      <c r="U52" s="31">
        <v>-96</v>
      </c>
      <c r="V52" s="31" t="s">
        <v>54</v>
      </c>
      <c r="W52" s="31">
        <v>-23</v>
      </c>
      <c r="X52" s="31" t="s">
        <v>54</v>
      </c>
      <c r="Y52" s="31">
        <v>45</v>
      </c>
      <c r="Z52" s="31" t="s">
        <v>53</v>
      </c>
      <c r="AA52" s="31">
        <v>129</v>
      </c>
      <c r="AB52" s="31" t="s">
        <v>53</v>
      </c>
      <c r="AC52" s="31">
        <v>109</v>
      </c>
      <c r="AD52" s="31" t="s">
        <v>53</v>
      </c>
      <c r="AE52" s="31">
        <v>-113</v>
      </c>
      <c r="AF52" s="31" t="s">
        <v>55</v>
      </c>
      <c r="AG52" s="31">
        <v>78</v>
      </c>
      <c r="AH52" s="31" t="s">
        <v>53</v>
      </c>
      <c r="AI52" s="31">
        <v>85</v>
      </c>
      <c r="AJ52" s="31" t="s">
        <v>53</v>
      </c>
      <c r="AK52" s="31">
        <v>95</v>
      </c>
      <c r="AL52" s="31" t="s">
        <v>53</v>
      </c>
      <c r="AM52" s="31">
        <v>-120</v>
      </c>
      <c r="AN52" s="31" t="s">
        <v>55</v>
      </c>
      <c r="AO52" s="31">
        <v>-120</v>
      </c>
      <c r="AP52" s="31" t="s">
        <v>55</v>
      </c>
      <c r="AQ52" s="31">
        <v>-115</v>
      </c>
      <c r="AR52" s="31" t="s">
        <v>55</v>
      </c>
      <c r="AS52" s="31">
        <v>-108</v>
      </c>
      <c r="AT52" s="31" t="s">
        <v>55</v>
      </c>
      <c r="AU52" s="31" t="s">
        <v>56</v>
      </c>
    </row>
    <row r="53" spans="2:47" s="31" customFormat="1" ht="254.55" customHeight="1" x14ac:dyDescent="0.3">
      <c r="B53" s="50">
        <v>10</v>
      </c>
      <c r="C53" s="33" t="s">
        <v>170</v>
      </c>
      <c r="D53" s="33"/>
      <c r="E53" s="33" t="s">
        <v>201</v>
      </c>
      <c r="F53" s="130" t="s">
        <v>202</v>
      </c>
      <c r="G53" s="126">
        <v>216965733</v>
      </c>
      <c r="H53" s="117">
        <v>78</v>
      </c>
      <c r="I53" s="41"/>
      <c r="J53" s="48">
        <f t="shared" si="2"/>
        <v>78</v>
      </c>
      <c r="K53" s="49">
        <f t="shared" si="0"/>
        <v>0</v>
      </c>
      <c r="L53" s="50" t="s">
        <v>67</v>
      </c>
      <c r="M53" s="50" t="s">
        <v>501</v>
      </c>
      <c r="N53" s="102" t="s">
        <v>203</v>
      </c>
      <c r="O53" s="102" t="s">
        <v>629</v>
      </c>
      <c r="P53" s="103" t="s">
        <v>587</v>
      </c>
      <c r="Q53" s="113">
        <v>46118</v>
      </c>
      <c r="R53" s="114">
        <v>46019</v>
      </c>
      <c r="S53" s="31">
        <f t="shared" si="1"/>
        <v>-99</v>
      </c>
      <c r="U53" s="31">
        <v>27</v>
      </c>
      <c r="V53" s="31" t="s">
        <v>53</v>
      </c>
      <c r="W53" s="31">
        <v>13</v>
      </c>
      <c r="X53" s="31" t="s">
        <v>53</v>
      </c>
      <c r="Y53" s="31">
        <v>34</v>
      </c>
      <c r="Z53" s="31" t="s">
        <v>53</v>
      </c>
      <c r="AA53" s="31">
        <v>55</v>
      </c>
      <c r="AB53" s="31" t="s">
        <v>53</v>
      </c>
      <c r="AC53" s="31">
        <v>23</v>
      </c>
      <c r="AD53" s="31" t="s">
        <v>53</v>
      </c>
      <c r="AE53" s="31">
        <v>-78</v>
      </c>
      <c r="AF53" s="31" t="s">
        <v>55</v>
      </c>
      <c r="AG53" s="31">
        <v>29</v>
      </c>
      <c r="AH53" s="31" t="s">
        <v>53</v>
      </c>
      <c r="AI53" s="31">
        <v>36</v>
      </c>
      <c r="AJ53" s="31" t="s">
        <v>53</v>
      </c>
      <c r="AK53" s="31">
        <v>44</v>
      </c>
      <c r="AL53" s="31" t="s">
        <v>53</v>
      </c>
      <c r="AM53" s="31">
        <v>-85</v>
      </c>
      <c r="AN53" s="31" t="s">
        <v>55</v>
      </c>
      <c r="AO53" s="31">
        <v>-92</v>
      </c>
      <c r="AP53" s="31" t="s">
        <v>55</v>
      </c>
      <c r="AQ53" s="31">
        <v>-87</v>
      </c>
      <c r="AR53" s="31" t="s">
        <v>55</v>
      </c>
      <c r="AS53" s="31">
        <v>-80</v>
      </c>
      <c r="AT53" s="31" t="s">
        <v>55</v>
      </c>
      <c r="AU53" s="31" t="s">
        <v>59</v>
      </c>
    </row>
    <row r="54" spans="2:47" ht="43.5" customHeight="1" x14ac:dyDescent="0.6">
      <c r="B54" s="122" t="s">
        <v>204</v>
      </c>
      <c r="C54" s="122"/>
      <c r="D54" s="122"/>
      <c r="E54" s="122"/>
      <c r="F54" s="122"/>
      <c r="G54" s="123">
        <f>SUBTOTAL(9,G5:G53)</f>
        <v>1005015582062.9</v>
      </c>
      <c r="H54" s="123">
        <f>SUBTOTAL(9,H5:H53)</f>
        <v>288415</v>
      </c>
      <c r="I54" s="123">
        <f>SUBTOTAL(9,I5:I53)</f>
        <v>207797.76000000001</v>
      </c>
      <c r="J54" s="123">
        <f>SUBTOTAL(9,J5:J53)</f>
        <v>58513.500000000007</v>
      </c>
      <c r="K54" s="124">
        <f>I54/H54</f>
        <v>0.7204818057313247</v>
      </c>
      <c r="L54" s="40"/>
      <c r="M54" s="40"/>
      <c r="N54" s="78"/>
      <c r="O54" s="79"/>
      <c r="P54" s="78"/>
      <c r="Q54" s="80"/>
      <c r="R54" s="31"/>
      <c r="S54" s="31"/>
    </row>
    <row r="58" spans="2:47" ht="31.2" x14ac:dyDescent="0.6">
      <c r="I58" s="125"/>
    </row>
  </sheetData>
  <autoFilter ref="B4:AU53" xr:uid="{744E4AAD-770F-4EF1-A664-90E8CCB52167}"/>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E982-BF56-473A-8216-E8BF54A4E090}">
  <dimension ref="B1:P100"/>
  <sheetViews>
    <sheetView tabSelected="1" zoomScale="51" zoomScaleNormal="51" workbookViewId="0">
      <selection activeCell="N3" sqref="N3"/>
    </sheetView>
  </sheetViews>
  <sheetFormatPr defaultColWidth="8.77734375" defaultRowHeight="31.2" x14ac:dyDescent="0.6"/>
  <cols>
    <col min="1" max="2" width="8.77734375" style="25"/>
    <col min="3" max="3" width="21.77734375" style="25" bestFit="1" customWidth="1"/>
    <col min="4" max="4" width="17.5546875" style="25" customWidth="1"/>
    <col min="5" max="5" width="29" style="25" customWidth="1"/>
    <col min="6" max="6" width="47.5546875" style="25" customWidth="1"/>
    <col min="7" max="7" width="39.44140625" style="25" customWidth="1"/>
    <col min="8" max="8" width="15" style="25" customWidth="1"/>
    <col min="9" max="9" width="15.21875" style="25" customWidth="1"/>
    <col min="10" max="10" width="17" style="25" customWidth="1"/>
    <col min="11" max="12" width="14.5546875" style="25" customWidth="1"/>
    <col min="13" max="14" width="22.77734375" style="28" customWidth="1"/>
    <col min="15" max="15" width="61.44140625" style="87" customWidth="1"/>
    <col min="16" max="16" width="40.5546875" style="87" customWidth="1"/>
    <col min="17" max="16384" width="8.77734375" style="25"/>
  </cols>
  <sheetData>
    <row r="1" spans="2:16" x14ac:dyDescent="0.6">
      <c r="C1" s="25">
        <f>SUBTOTAL(3,C4:C99)</f>
        <v>96</v>
      </c>
      <c r="G1" s="132">
        <f>SUBTOTAL(9,G4:G99)</f>
        <v>1004550927482</v>
      </c>
    </row>
    <row r="2" spans="2:16" s="88" customFormat="1" ht="57" customHeight="1" x14ac:dyDescent="0.3">
      <c r="B2" s="133" t="s">
        <v>0</v>
      </c>
      <c r="C2" s="133" t="s">
        <v>1</v>
      </c>
      <c r="D2" s="133" t="s">
        <v>532</v>
      </c>
      <c r="E2" s="134" t="s">
        <v>3</v>
      </c>
      <c r="F2" s="134" t="s">
        <v>4</v>
      </c>
      <c r="G2" s="134" t="s">
        <v>5</v>
      </c>
      <c r="H2" s="134" t="s">
        <v>7</v>
      </c>
      <c r="I2" s="134" t="s">
        <v>533</v>
      </c>
      <c r="J2" s="134" t="s">
        <v>9</v>
      </c>
      <c r="K2" s="134" t="s">
        <v>10</v>
      </c>
      <c r="L2" s="134" t="s">
        <v>11</v>
      </c>
      <c r="M2" s="134" t="s">
        <v>534</v>
      </c>
      <c r="N2" s="134" t="s">
        <v>12</v>
      </c>
      <c r="O2" s="134" t="s">
        <v>535</v>
      </c>
      <c r="P2" s="134" t="s">
        <v>15</v>
      </c>
    </row>
    <row r="3" spans="2:16" x14ac:dyDescent="0.6">
      <c r="B3" s="133"/>
      <c r="C3" s="133"/>
      <c r="D3" s="133"/>
      <c r="E3" s="133"/>
      <c r="F3" s="133"/>
      <c r="G3" s="134"/>
      <c r="H3" s="134"/>
      <c r="I3" s="134"/>
      <c r="J3" s="134"/>
      <c r="K3" s="134"/>
      <c r="L3" s="134"/>
      <c r="M3" s="134"/>
      <c r="N3" s="134"/>
      <c r="O3" s="135"/>
      <c r="P3" s="136"/>
    </row>
    <row r="4" spans="2:16" x14ac:dyDescent="0.6">
      <c r="B4" s="32">
        <v>1</v>
      </c>
      <c r="C4" s="137" t="s">
        <v>46</v>
      </c>
      <c r="D4" s="32" t="s">
        <v>64</v>
      </c>
      <c r="E4" s="138" t="s">
        <v>296</v>
      </c>
      <c r="F4" s="139" t="s">
        <v>297</v>
      </c>
      <c r="G4" s="140">
        <v>1900517720</v>
      </c>
      <c r="H4" s="140">
        <v>1723</v>
      </c>
      <c r="I4" s="140">
        <v>1941</v>
      </c>
      <c r="J4" s="141"/>
      <c r="K4" s="49">
        <v>1</v>
      </c>
      <c r="L4" s="49"/>
      <c r="M4" s="50" t="s">
        <v>14</v>
      </c>
      <c r="N4" s="50"/>
      <c r="O4" s="142" t="s">
        <v>223</v>
      </c>
      <c r="P4" s="142" t="s">
        <v>223</v>
      </c>
    </row>
    <row r="5" spans="2:16" x14ac:dyDescent="0.6">
      <c r="B5" s="32">
        <v>2</v>
      </c>
      <c r="C5" s="137" t="s">
        <v>46</v>
      </c>
      <c r="D5" s="32" t="s">
        <v>64</v>
      </c>
      <c r="E5" s="138" t="s">
        <v>298</v>
      </c>
      <c r="F5" s="138" t="s">
        <v>299</v>
      </c>
      <c r="G5" s="140">
        <v>566145404</v>
      </c>
      <c r="H5" s="140">
        <v>499</v>
      </c>
      <c r="I5" s="140">
        <v>475</v>
      </c>
      <c r="J5" s="141"/>
      <c r="K5" s="49">
        <v>1</v>
      </c>
      <c r="L5" s="49"/>
      <c r="M5" s="50" t="s">
        <v>14</v>
      </c>
      <c r="N5" s="50"/>
      <c r="O5" s="142" t="s">
        <v>223</v>
      </c>
      <c r="P5" s="142" t="s">
        <v>223</v>
      </c>
    </row>
    <row r="6" spans="2:16" ht="156" x14ac:dyDescent="0.6">
      <c r="B6" s="32">
        <v>3</v>
      </c>
      <c r="C6" s="137" t="s">
        <v>46</v>
      </c>
      <c r="D6" s="32" t="s">
        <v>64</v>
      </c>
      <c r="E6" s="139" t="s">
        <v>300</v>
      </c>
      <c r="F6" s="139" t="s">
        <v>301</v>
      </c>
      <c r="G6" s="140">
        <v>845547893</v>
      </c>
      <c r="H6" s="140">
        <v>574</v>
      </c>
      <c r="I6" s="140">
        <v>0</v>
      </c>
      <c r="J6" s="141">
        <f t="shared" ref="J6:J69" si="0">H6-I6</f>
        <v>574</v>
      </c>
      <c r="K6" s="49">
        <f t="shared" ref="K6:K69" si="1">I6/H6</f>
        <v>0</v>
      </c>
      <c r="L6" s="49"/>
      <c r="M6" s="50" t="s">
        <v>111</v>
      </c>
      <c r="N6" s="50"/>
      <c r="O6" s="143" t="s">
        <v>536</v>
      </c>
      <c r="P6" s="69" t="s">
        <v>537</v>
      </c>
    </row>
    <row r="7" spans="2:16" ht="156" x14ac:dyDescent="0.6">
      <c r="B7" s="32">
        <v>4</v>
      </c>
      <c r="C7" s="137" t="s">
        <v>46</v>
      </c>
      <c r="D7" s="32" t="s">
        <v>64</v>
      </c>
      <c r="E7" s="139" t="s">
        <v>302</v>
      </c>
      <c r="F7" s="139" t="s">
        <v>303</v>
      </c>
      <c r="G7" s="140">
        <v>1299733190</v>
      </c>
      <c r="H7" s="140">
        <v>1107</v>
      </c>
      <c r="I7" s="140">
        <v>0</v>
      </c>
      <c r="J7" s="141">
        <f t="shared" si="0"/>
        <v>1107</v>
      </c>
      <c r="K7" s="49">
        <f t="shared" si="1"/>
        <v>0</v>
      </c>
      <c r="L7" s="49"/>
      <c r="M7" s="50" t="s">
        <v>111</v>
      </c>
      <c r="N7" s="50"/>
      <c r="O7" s="143" t="s">
        <v>536</v>
      </c>
      <c r="P7" s="69" t="s">
        <v>538</v>
      </c>
    </row>
    <row r="8" spans="2:16" ht="156" x14ac:dyDescent="0.6">
      <c r="B8" s="32">
        <v>5</v>
      </c>
      <c r="C8" s="137" t="s">
        <v>46</v>
      </c>
      <c r="D8" s="32" t="s">
        <v>64</v>
      </c>
      <c r="E8" s="139" t="s">
        <v>304</v>
      </c>
      <c r="F8" s="139" t="s">
        <v>305</v>
      </c>
      <c r="G8" s="140">
        <v>743181033</v>
      </c>
      <c r="H8" s="140">
        <v>591</v>
      </c>
      <c r="I8" s="140">
        <v>0</v>
      </c>
      <c r="J8" s="141">
        <f t="shared" si="0"/>
        <v>591</v>
      </c>
      <c r="K8" s="49">
        <f t="shared" si="1"/>
        <v>0</v>
      </c>
      <c r="L8" s="49"/>
      <c r="M8" s="50" t="s">
        <v>111</v>
      </c>
      <c r="N8" s="50"/>
      <c r="O8" s="143" t="s">
        <v>536</v>
      </c>
      <c r="P8" s="69" t="s">
        <v>539</v>
      </c>
    </row>
    <row r="9" spans="2:16" ht="156" x14ac:dyDescent="0.6">
      <c r="B9" s="32">
        <v>6</v>
      </c>
      <c r="C9" s="137" t="s">
        <v>46</v>
      </c>
      <c r="D9" s="32" t="s">
        <v>64</v>
      </c>
      <c r="E9" s="139" t="s">
        <v>306</v>
      </c>
      <c r="F9" s="139" t="s">
        <v>307</v>
      </c>
      <c r="G9" s="140">
        <v>185939569</v>
      </c>
      <c r="H9" s="140">
        <v>136</v>
      </c>
      <c r="I9" s="140">
        <v>136</v>
      </c>
      <c r="J9" s="141">
        <f t="shared" si="0"/>
        <v>0</v>
      </c>
      <c r="K9" s="49">
        <f t="shared" si="1"/>
        <v>1</v>
      </c>
      <c r="L9" s="49"/>
      <c r="M9" s="50" t="s">
        <v>62</v>
      </c>
      <c r="N9" s="50"/>
      <c r="O9" s="143" t="s">
        <v>540</v>
      </c>
      <c r="P9" s="69" t="s">
        <v>541</v>
      </c>
    </row>
    <row r="10" spans="2:16" ht="196.5" customHeight="1" x14ac:dyDescent="0.6">
      <c r="B10" s="32">
        <v>7</v>
      </c>
      <c r="C10" s="40" t="s">
        <v>102</v>
      </c>
      <c r="D10" s="32" t="s">
        <v>47</v>
      </c>
      <c r="E10" s="138" t="s">
        <v>308</v>
      </c>
      <c r="F10" s="102" t="s">
        <v>309</v>
      </c>
      <c r="G10" s="140">
        <v>116190335817</v>
      </c>
      <c r="H10" s="140">
        <v>3250</v>
      </c>
      <c r="I10" s="140">
        <v>0</v>
      </c>
      <c r="J10" s="141">
        <f t="shared" si="0"/>
        <v>3250</v>
      </c>
      <c r="K10" s="49">
        <f t="shared" si="1"/>
        <v>0</v>
      </c>
      <c r="L10" s="49"/>
      <c r="M10" s="50" t="s">
        <v>111</v>
      </c>
      <c r="N10" s="50"/>
      <c r="O10" s="143" t="s">
        <v>642</v>
      </c>
      <c r="P10" s="69" t="s">
        <v>542</v>
      </c>
    </row>
    <row r="11" spans="2:16" ht="409.6" x14ac:dyDescent="0.6">
      <c r="B11" s="32">
        <v>8</v>
      </c>
      <c r="C11" s="40" t="s">
        <v>102</v>
      </c>
      <c r="D11" s="32" t="s">
        <v>47</v>
      </c>
      <c r="E11" s="138" t="s">
        <v>310</v>
      </c>
      <c r="F11" s="139" t="s">
        <v>311</v>
      </c>
      <c r="G11" s="140">
        <v>73854573626</v>
      </c>
      <c r="H11" s="140">
        <v>2000</v>
      </c>
      <c r="I11" s="140">
        <v>0</v>
      </c>
      <c r="J11" s="141">
        <f t="shared" si="0"/>
        <v>2000</v>
      </c>
      <c r="K11" s="49">
        <f t="shared" si="1"/>
        <v>0</v>
      </c>
      <c r="L11" s="49"/>
      <c r="M11" s="50" t="s">
        <v>643</v>
      </c>
      <c r="N11" s="50"/>
      <c r="O11" s="143" t="s">
        <v>644</v>
      </c>
      <c r="P11" s="69" t="s">
        <v>542</v>
      </c>
    </row>
    <row r="12" spans="2:16" ht="218.4" x14ac:dyDescent="0.6">
      <c r="B12" s="32">
        <v>9</v>
      </c>
      <c r="C12" s="40" t="s">
        <v>102</v>
      </c>
      <c r="D12" s="32" t="s">
        <v>64</v>
      </c>
      <c r="E12" s="138" t="s">
        <v>312</v>
      </c>
      <c r="F12" s="138" t="s">
        <v>313</v>
      </c>
      <c r="G12" s="140">
        <v>4190030534</v>
      </c>
      <c r="H12" s="140">
        <v>1</v>
      </c>
      <c r="I12" s="140">
        <v>0</v>
      </c>
      <c r="J12" s="141">
        <f t="shared" si="0"/>
        <v>1</v>
      </c>
      <c r="K12" s="49">
        <f t="shared" si="1"/>
        <v>0</v>
      </c>
      <c r="L12" s="49"/>
      <c r="M12" s="50" t="s">
        <v>543</v>
      </c>
      <c r="N12" s="50"/>
      <c r="O12" s="143" t="s">
        <v>544</v>
      </c>
      <c r="P12" s="69" t="s">
        <v>542</v>
      </c>
    </row>
    <row r="13" spans="2:16" ht="280.8" x14ac:dyDescent="0.6">
      <c r="B13" s="32">
        <v>10</v>
      </c>
      <c r="C13" s="40" t="s">
        <v>102</v>
      </c>
      <c r="D13" s="32" t="s">
        <v>64</v>
      </c>
      <c r="E13" s="138" t="s">
        <v>314</v>
      </c>
      <c r="F13" s="138" t="s">
        <v>315</v>
      </c>
      <c r="G13" s="140">
        <v>3505797266</v>
      </c>
      <c r="H13" s="140">
        <v>1</v>
      </c>
      <c r="I13" s="140">
        <v>0</v>
      </c>
      <c r="J13" s="141">
        <f t="shared" si="0"/>
        <v>1</v>
      </c>
      <c r="K13" s="49">
        <f t="shared" si="1"/>
        <v>0</v>
      </c>
      <c r="L13" s="49"/>
      <c r="M13" s="50" t="s">
        <v>543</v>
      </c>
      <c r="N13" s="50"/>
      <c r="O13" s="143" t="s">
        <v>645</v>
      </c>
      <c r="P13" s="69" t="s">
        <v>542</v>
      </c>
    </row>
    <row r="14" spans="2:16" ht="280.8" x14ac:dyDescent="0.6">
      <c r="B14" s="32">
        <v>11</v>
      </c>
      <c r="C14" s="40" t="s">
        <v>102</v>
      </c>
      <c r="D14" s="32" t="s">
        <v>64</v>
      </c>
      <c r="E14" s="138" t="s">
        <v>316</v>
      </c>
      <c r="F14" s="138" t="s">
        <v>317</v>
      </c>
      <c r="G14" s="140">
        <v>2701873397</v>
      </c>
      <c r="H14" s="140">
        <v>1</v>
      </c>
      <c r="I14" s="140">
        <v>0</v>
      </c>
      <c r="J14" s="141">
        <f t="shared" si="0"/>
        <v>1</v>
      </c>
      <c r="K14" s="49">
        <f t="shared" si="1"/>
        <v>0</v>
      </c>
      <c r="L14" s="49"/>
      <c r="M14" s="50" t="s">
        <v>543</v>
      </c>
      <c r="N14" s="50"/>
      <c r="O14" s="143" t="s">
        <v>645</v>
      </c>
      <c r="P14" s="69" t="s">
        <v>542</v>
      </c>
    </row>
    <row r="15" spans="2:16" ht="409.6" x14ac:dyDescent="0.6">
      <c r="B15" s="32">
        <v>12</v>
      </c>
      <c r="C15" s="40" t="s">
        <v>102</v>
      </c>
      <c r="D15" s="32" t="s">
        <v>64</v>
      </c>
      <c r="E15" s="138" t="s">
        <v>318</v>
      </c>
      <c r="F15" s="138" t="s">
        <v>319</v>
      </c>
      <c r="G15" s="140">
        <v>3727915906</v>
      </c>
      <c r="H15" s="140">
        <v>1</v>
      </c>
      <c r="I15" s="140">
        <v>0</v>
      </c>
      <c r="J15" s="141">
        <f t="shared" si="0"/>
        <v>1</v>
      </c>
      <c r="K15" s="49">
        <f t="shared" si="1"/>
        <v>0</v>
      </c>
      <c r="L15" s="49"/>
      <c r="M15" s="50" t="s">
        <v>543</v>
      </c>
      <c r="N15" s="50"/>
      <c r="O15" s="143" t="s">
        <v>646</v>
      </c>
      <c r="P15" s="69" t="s">
        <v>542</v>
      </c>
    </row>
    <row r="16" spans="2:16" ht="280.8" x14ac:dyDescent="0.6">
      <c r="B16" s="32">
        <v>13</v>
      </c>
      <c r="C16" s="40" t="s">
        <v>102</v>
      </c>
      <c r="D16" s="32" t="s">
        <v>64</v>
      </c>
      <c r="E16" s="138" t="s">
        <v>320</v>
      </c>
      <c r="F16" s="138" t="s">
        <v>321</v>
      </c>
      <c r="G16" s="140">
        <v>7763044097</v>
      </c>
      <c r="H16" s="140">
        <v>1</v>
      </c>
      <c r="I16" s="140">
        <v>0</v>
      </c>
      <c r="J16" s="141">
        <f t="shared" si="0"/>
        <v>1</v>
      </c>
      <c r="K16" s="49">
        <f t="shared" si="1"/>
        <v>0</v>
      </c>
      <c r="L16" s="49"/>
      <c r="M16" s="50" t="s">
        <v>543</v>
      </c>
      <c r="N16" s="50"/>
      <c r="O16" s="143" t="s">
        <v>647</v>
      </c>
      <c r="P16" s="69" t="s">
        <v>542</v>
      </c>
    </row>
    <row r="17" spans="2:16" ht="409.6" x14ac:dyDescent="0.6">
      <c r="B17" s="32">
        <v>14</v>
      </c>
      <c r="C17" s="40" t="s">
        <v>102</v>
      </c>
      <c r="D17" s="32" t="s">
        <v>64</v>
      </c>
      <c r="E17" s="138" t="s">
        <v>322</v>
      </c>
      <c r="F17" s="139" t="s">
        <v>323</v>
      </c>
      <c r="G17" s="140">
        <v>1611907405</v>
      </c>
      <c r="H17" s="140">
        <v>1020</v>
      </c>
      <c r="I17" s="140">
        <v>0</v>
      </c>
      <c r="J17" s="141">
        <f t="shared" si="0"/>
        <v>1020</v>
      </c>
      <c r="K17" s="49">
        <f t="shared" si="1"/>
        <v>0</v>
      </c>
      <c r="L17" s="49"/>
      <c r="M17" s="50" t="s">
        <v>111</v>
      </c>
      <c r="N17" s="50"/>
      <c r="O17" s="143" t="s">
        <v>648</v>
      </c>
      <c r="P17" s="69" t="s">
        <v>538</v>
      </c>
    </row>
    <row r="18" spans="2:16" ht="187.2" x14ac:dyDescent="0.6">
      <c r="B18" s="32">
        <v>15</v>
      </c>
      <c r="C18" s="40" t="s">
        <v>102</v>
      </c>
      <c r="D18" s="32" t="s">
        <v>64</v>
      </c>
      <c r="E18" s="138" t="s">
        <v>324</v>
      </c>
      <c r="F18" s="139" t="s">
        <v>325</v>
      </c>
      <c r="G18" s="140">
        <v>108263184306</v>
      </c>
      <c r="H18" s="140">
        <v>59661</v>
      </c>
      <c r="I18" s="140">
        <v>0</v>
      </c>
      <c r="J18" s="141">
        <f t="shared" si="0"/>
        <v>59661</v>
      </c>
      <c r="K18" s="49">
        <f t="shared" si="1"/>
        <v>0</v>
      </c>
      <c r="L18" s="49"/>
      <c r="M18" s="50" t="s">
        <v>111</v>
      </c>
      <c r="N18" s="50"/>
      <c r="O18" s="142" t="s">
        <v>649</v>
      </c>
      <c r="P18" s="69" t="s">
        <v>542</v>
      </c>
    </row>
    <row r="19" spans="2:16" ht="156" x14ac:dyDescent="0.6">
      <c r="B19" s="32">
        <v>16</v>
      </c>
      <c r="C19" s="40" t="s">
        <v>102</v>
      </c>
      <c r="D19" s="32" t="s">
        <v>64</v>
      </c>
      <c r="E19" s="138" t="s">
        <v>326</v>
      </c>
      <c r="F19" s="139" t="s">
        <v>327</v>
      </c>
      <c r="G19" s="140">
        <v>41835326266</v>
      </c>
      <c r="H19" s="140">
        <v>12891</v>
      </c>
      <c r="I19" s="140">
        <v>0</v>
      </c>
      <c r="J19" s="141">
        <f t="shared" si="0"/>
        <v>12891</v>
      </c>
      <c r="K19" s="49">
        <f t="shared" si="1"/>
        <v>0</v>
      </c>
      <c r="L19" s="49"/>
      <c r="M19" s="50" t="s">
        <v>111</v>
      </c>
      <c r="N19" s="50"/>
      <c r="O19" s="142" t="s">
        <v>650</v>
      </c>
      <c r="P19" s="69" t="s">
        <v>542</v>
      </c>
    </row>
    <row r="20" spans="2:16" ht="405.6" x14ac:dyDescent="0.6">
      <c r="B20" s="32">
        <v>17</v>
      </c>
      <c r="C20" s="40" t="s">
        <v>102</v>
      </c>
      <c r="D20" s="32" t="s">
        <v>64</v>
      </c>
      <c r="E20" s="138" t="s">
        <v>328</v>
      </c>
      <c r="F20" s="138" t="s">
        <v>329</v>
      </c>
      <c r="G20" s="140">
        <v>16449980828</v>
      </c>
      <c r="H20" s="140">
        <v>10122</v>
      </c>
      <c r="I20" s="140">
        <v>0</v>
      </c>
      <c r="J20" s="141">
        <f t="shared" si="0"/>
        <v>10122</v>
      </c>
      <c r="K20" s="49">
        <f t="shared" si="1"/>
        <v>0</v>
      </c>
      <c r="L20" s="49"/>
      <c r="M20" s="50" t="s">
        <v>111</v>
      </c>
      <c r="N20" s="50"/>
      <c r="O20" s="143" t="s">
        <v>651</v>
      </c>
      <c r="P20" s="69" t="s">
        <v>542</v>
      </c>
    </row>
    <row r="21" spans="2:16" ht="156" x14ac:dyDescent="0.6">
      <c r="B21" s="32">
        <v>18</v>
      </c>
      <c r="C21" s="40" t="s">
        <v>102</v>
      </c>
      <c r="D21" s="32" t="s">
        <v>64</v>
      </c>
      <c r="E21" s="138" t="s">
        <v>330</v>
      </c>
      <c r="F21" s="138" t="s">
        <v>331</v>
      </c>
      <c r="G21" s="140">
        <v>31758437828</v>
      </c>
      <c r="H21" s="140">
        <v>18612</v>
      </c>
      <c r="I21" s="140">
        <v>0</v>
      </c>
      <c r="J21" s="141">
        <f t="shared" si="0"/>
        <v>18612</v>
      </c>
      <c r="K21" s="49">
        <f t="shared" si="1"/>
        <v>0</v>
      </c>
      <c r="L21" s="49"/>
      <c r="M21" s="50" t="s">
        <v>111</v>
      </c>
      <c r="N21" s="50"/>
      <c r="O21" s="142" t="s">
        <v>652</v>
      </c>
      <c r="P21" s="69" t="s">
        <v>542</v>
      </c>
    </row>
    <row r="22" spans="2:16" ht="187.2" x14ac:dyDescent="0.6">
      <c r="B22" s="32">
        <v>19</v>
      </c>
      <c r="C22" s="40" t="s">
        <v>102</v>
      </c>
      <c r="D22" s="32" t="s">
        <v>64</v>
      </c>
      <c r="E22" s="138" t="s">
        <v>332</v>
      </c>
      <c r="F22" s="138" t="s">
        <v>333</v>
      </c>
      <c r="G22" s="140">
        <v>26670132107</v>
      </c>
      <c r="H22" s="140">
        <v>1818</v>
      </c>
      <c r="I22" s="140">
        <v>0</v>
      </c>
      <c r="J22" s="141">
        <f t="shared" si="0"/>
        <v>1818</v>
      </c>
      <c r="K22" s="49">
        <f t="shared" si="1"/>
        <v>0</v>
      </c>
      <c r="L22" s="49"/>
      <c r="M22" s="50" t="s">
        <v>111</v>
      </c>
      <c r="N22" s="50"/>
      <c r="O22" s="143" t="s">
        <v>653</v>
      </c>
      <c r="P22" s="69" t="s">
        <v>545</v>
      </c>
    </row>
    <row r="23" spans="2:16" ht="156" x14ac:dyDescent="0.6">
      <c r="B23" s="32">
        <v>20</v>
      </c>
      <c r="C23" s="40" t="s">
        <v>102</v>
      </c>
      <c r="D23" s="32" t="s">
        <v>64</v>
      </c>
      <c r="E23" s="138" t="s">
        <v>334</v>
      </c>
      <c r="F23" s="139" t="s">
        <v>335</v>
      </c>
      <c r="G23" s="140">
        <v>3196946622</v>
      </c>
      <c r="H23" s="140">
        <v>660</v>
      </c>
      <c r="I23" s="140">
        <v>0</v>
      </c>
      <c r="J23" s="141">
        <f t="shared" si="0"/>
        <v>660</v>
      </c>
      <c r="K23" s="49">
        <f t="shared" si="1"/>
        <v>0</v>
      </c>
      <c r="L23" s="49"/>
      <c r="M23" s="50" t="s">
        <v>111</v>
      </c>
      <c r="N23" s="50"/>
      <c r="O23" s="143" t="s">
        <v>654</v>
      </c>
      <c r="P23" s="69" t="s">
        <v>545</v>
      </c>
    </row>
    <row r="24" spans="2:16" ht="409.6" x14ac:dyDescent="0.6">
      <c r="B24" s="32">
        <v>21</v>
      </c>
      <c r="C24" s="40" t="s">
        <v>102</v>
      </c>
      <c r="D24" s="32" t="s">
        <v>64</v>
      </c>
      <c r="E24" s="138" t="s">
        <v>336</v>
      </c>
      <c r="F24" s="139" t="s">
        <v>337</v>
      </c>
      <c r="G24" s="140">
        <v>6927006818</v>
      </c>
      <c r="H24" s="140">
        <v>1813</v>
      </c>
      <c r="I24" s="140">
        <v>0</v>
      </c>
      <c r="J24" s="141">
        <f t="shared" si="0"/>
        <v>1813</v>
      </c>
      <c r="K24" s="49">
        <f t="shared" si="1"/>
        <v>0</v>
      </c>
      <c r="L24" s="49"/>
      <c r="M24" s="50" t="s">
        <v>111</v>
      </c>
      <c r="N24" s="50"/>
      <c r="O24" s="143" t="s">
        <v>655</v>
      </c>
      <c r="P24" s="69" t="s">
        <v>545</v>
      </c>
    </row>
    <row r="25" spans="2:16" ht="409.6" x14ac:dyDescent="0.6">
      <c r="B25" s="32">
        <v>22</v>
      </c>
      <c r="C25" s="40" t="s">
        <v>102</v>
      </c>
      <c r="D25" s="32" t="s">
        <v>64</v>
      </c>
      <c r="E25" s="138" t="s">
        <v>338</v>
      </c>
      <c r="F25" s="139" t="s">
        <v>339</v>
      </c>
      <c r="G25" s="140">
        <v>4118143290</v>
      </c>
      <c r="H25" s="140">
        <v>1953</v>
      </c>
      <c r="I25" s="140">
        <v>0</v>
      </c>
      <c r="J25" s="141">
        <f t="shared" si="0"/>
        <v>1953</v>
      </c>
      <c r="K25" s="49">
        <f t="shared" si="1"/>
        <v>0</v>
      </c>
      <c r="L25" s="49"/>
      <c r="M25" s="50" t="s">
        <v>111</v>
      </c>
      <c r="N25" s="50"/>
      <c r="O25" s="143" t="s">
        <v>656</v>
      </c>
      <c r="P25" s="69" t="s">
        <v>538</v>
      </c>
    </row>
    <row r="26" spans="2:16" ht="374.4" x14ac:dyDescent="0.6">
      <c r="B26" s="32">
        <v>23</v>
      </c>
      <c r="C26" s="40" t="s">
        <v>102</v>
      </c>
      <c r="D26" s="32" t="s">
        <v>64</v>
      </c>
      <c r="E26" s="138" t="s">
        <v>340</v>
      </c>
      <c r="F26" s="139" t="s">
        <v>341</v>
      </c>
      <c r="G26" s="140">
        <v>3704638539</v>
      </c>
      <c r="H26" s="140">
        <v>2201</v>
      </c>
      <c r="I26" s="140">
        <v>0</v>
      </c>
      <c r="J26" s="141">
        <f t="shared" si="0"/>
        <v>2201</v>
      </c>
      <c r="K26" s="49">
        <f t="shared" si="1"/>
        <v>0</v>
      </c>
      <c r="L26" s="49"/>
      <c r="M26" s="50" t="s">
        <v>111</v>
      </c>
      <c r="N26" s="50"/>
      <c r="O26" s="143" t="s">
        <v>657</v>
      </c>
      <c r="P26" s="69" t="s">
        <v>538</v>
      </c>
    </row>
    <row r="27" spans="2:16" ht="249.6" x14ac:dyDescent="0.6">
      <c r="B27" s="32">
        <v>24</v>
      </c>
      <c r="C27" s="40" t="s">
        <v>102</v>
      </c>
      <c r="D27" s="32" t="s">
        <v>64</v>
      </c>
      <c r="E27" s="138" t="s">
        <v>342</v>
      </c>
      <c r="F27" s="139" t="s">
        <v>343</v>
      </c>
      <c r="G27" s="140">
        <v>11957112422</v>
      </c>
      <c r="H27" s="140">
        <v>7443</v>
      </c>
      <c r="I27" s="140">
        <v>0</v>
      </c>
      <c r="J27" s="141">
        <f t="shared" si="0"/>
        <v>7443</v>
      </c>
      <c r="K27" s="49">
        <f t="shared" si="1"/>
        <v>0</v>
      </c>
      <c r="L27" s="49"/>
      <c r="M27" s="50" t="s">
        <v>111</v>
      </c>
      <c r="N27" s="50"/>
      <c r="O27" s="143" t="s">
        <v>658</v>
      </c>
      <c r="P27" s="69" t="s">
        <v>545</v>
      </c>
    </row>
    <row r="28" spans="2:16" ht="405.6" x14ac:dyDescent="0.6">
      <c r="B28" s="32">
        <v>25</v>
      </c>
      <c r="C28" s="40" t="s">
        <v>102</v>
      </c>
      <c r="D28" s="32" t="s">
        <v>64</v>
      </c>
      <c r="E28" s="138" t="s">
        <v>344</v>
      </c>
      <c r="F28" s="139" t="s">
        <v>345</v>
      </c>
      <c r="G28" s="140">
        <v>27440000151</v>
      </c>
      <c r="H28" s="140">
        <v>5686</v>
      </c>
      <c r="I28" s="140">
        <v>0</v>
      </c>
      <c r="J28" s="141">
        <f t="shared" si="0"/>
        <v>5686</v>
      </c>
      <c r="K28" s="49">
        <f t="shared" si="1"/>
        <v>0</v>
      </c>
      <c r="L28" s="49"/>
      <c r="M28" s="50" t="s">
        <v>111</v>
      </c>
      <c r="N28" s="50"/>
      <c r="O28" s="142" t="s">
        <v>659</v>
      </c>
      <c r="P28" s="69" t="s">
        <v>542</v>
      </c>
    </row>
    <row r="29" spans="2:16" ht="156" x14ac:dyDescent="0.6">
      <c r="B29" s="32">
        <v>26</v>
      </c>
      <c r="C29" s="40" t="s">
        <v>102</v>
      </c>
      <c r="D29" s="32" t="s">
        <v>64</v>
      </c>
      <c r="E29" s="138" t="s">
        <v>346</v>
      </c>
      <c r="F29" s="139" t="s">
        <v>347</v>
      </c>
      <c r="G29" s="140">
        <v>55903447227</v>
      </c>
      <c r="H29" s="140">
        <v>32683</v>
      </c>
      <c r="I29" s="140">
        <v>0</v>
      </c>
      <c r="J29" s="141">
        <f t="shared" si="0"/>
        <v>32683</v>
      </c>
      <c r="K29" s="49">
        <f t="shared" si="1"/>
        <v>0</v>
      </c>
      <c r="L29" s="49"/>
      <c r="M29" s="50" t="s">
        <v>111</v>
      </c>
      <c r="N29" s="50"/>
      <c r="O29" s="142" t="s">
        <v>546</v>
      </c>
      <c r="P29" s="69" t="s">
        <v>542</v>
      </c>
    </row>
    <row r="30" spans="2:16" ht="156" x14ac:dyDescent="0.6">
      <c r="B30" s="32">
        <v>27</v>
      </c>
      <c r="C30" s="40" t="s">
        <v>102</v>
      </c>
      <c r="D30" s="32" t="s">
        <v>64</v>
      </c>
      <c r="E30" s="138" t="s">
        <v>348</v>
      </c>
      <c r="F30" s="139" t="s">
        <v>349</v>
      </c>
      <c r="G30" s="140">
        <v>4170299451</v>
      </c>
      <c r="H30" s="140">
        <v>3332</v>
      </c>
      <c r="I30" s="140">
        <v>0</v>
      </c>
      <c r="J30" s="141">
        <f t="shared" si="0"/>
        <v>3332</v>
      </c>
      <c r="K30" s="49">
        <f t="shared" si="1"/>
        <v>0</v>
      </c>
      <c r="L30" s="49"/>
      <c r="M30" s="50" t="s">
        <v>111</v>
      </c>
      <c r="N30" s="50"/>
      <c r="O30" s="142" t="s">
        <v>546</v>
      </c>
      <c r="P30" s="69" t="s">
        <v>545</v>
      </c>
    </row>
    <row r="31" spans="2:16" ht="156" x14ac:dyDescent="0.6">
      <c r="B31" s="32">
        <v>28</v>
      </c>
      <c r="C31" s="40" t="s">
        <v>102</v>
      </c>
      <c r="D31" s="32" t="s">
        <v>64</v>
      </c>
      <c r="E31" s="138" t="s">
        <v>350</v>
      </c>
      <c r="F31" s="139" t="s">
        <v>351</v>
      </c>
      <c r="G31" s="140">
        <v>3277940339</v>
      </c>
      <c r="H31" s="140">
        <v>1592</v>
      </c>
      <c r="I31" s="140">
        <v>0</v>
      </c>
      <c r="J31" s="141">
        <f t="shared" si="0"/>
        <v>1592</v>
      </c>
      <c r="K31" s="49">
        <f t="shared" si="1"/>
        <v>0</v>
      </c>
      <c r="L31" s="49"/>
      <c r="M31" s="50" t="s">
        <v>111</v>
      </c>
      <c r="N31" s="50"/>
      <c r="O31" s="142" t="s">
        <v>546</v>
      </c>
      <c r="P31" s="69" t="s">
        <v>545</v>
      </c>
    </row>
    <row r="32" spans="2:16" ht="156" x14ac:dyDescent="0.6">
      <c r="B32" s="32">
        <v>29</v>
      </c>
      <c r="C32" s="40" t="s">
        <v>102</v>
      </c>
      <c r="D32" s="32" t="s">
        <v>64</v>
      </c>
      <c r="E32" s="138" t="s">
        <v>352</v>
      </c>
      <c r="F32" s="139" t="s">
        <v>353</v>
      </c>
      <c r="G32" s="140">
        <v>48103364397</v>
      </c>
      <c r="H32" s="140">
        <v>24864</v>
      </c>
      <c r="I32" s="140">
        <v>0</v>
      </c>
      <c r="J32" s="141">
        <f t="shared" si="0"/>
        <v>24864</v>
      </c>
      <c r="K32" s="49">
        <f t="shared" si="1"/>
        <v>0</v>
      </c>
      <c r="L32" s="49"/>
      <c r="M32" s="50" t="s">
        <v>111</v>
      </c>
      <c r="N32" s="50"/>
      <c r="O32" s="142" t="s">
        <v>660</v>
      </c>
      <c r="P32" s="69" t="s">
        <v>542</v>
      </c>
    </row>
    <row r="33" spans="2:16" ht="198.75" customHeight="1" x14ac:dyDescent="0.6">
      <c r="B33" s="32">
        <v>30</v>
      </c>
      <c r="C33" s="40" t="s">
        <v>102</v>
      </c>
      <c r="D33" s="32" t="s">
        <v>64</v>
      </c>
      <c r="E33" s="138" t="s">
        <v>354</v>
      </c>
      <c r="F33" s="139" t="s">
        <v>355</v>
      </c>
      <c r="G33" s="140">
        <v>71310108897</v>
      </c>
      <c r="H33" s="140">
        <v>23765</v>
      </c>
      <c r="I33" s="140">
        <v>0</v>
      </c>
      <c r="J33" s="141">
        <f t="shared" si="0"/>
        <v>23765</v>
      </c>
      <c r="K33" s="49">
        <f t="shared" si="1"/>
        <v>0</v>
      </c>
      <c r="L33" s="49"/>
      <c r="M33" s="50" t="s">
        <v>111</v>
      </c>
      <c r="N33" s="50"/>
      <c r="O33" s="143" t="s">
        <v>661</v>
      </c>
      <c r="P33" s="69" t="s">
        <v>542</v>
      </c>
    </row>
    <row r="34" spans="2:16" ht="156" x14ac:dyDescent="0.6">
      <c r="B34" s="32">
        <v>31</v>
      </c>
      <c r="C34" s="40" t="s">
        <v>102</v>
      </c>
      <c r="D34" s="32" t="s">
        <v>64</v>
      </c>
      <c r="E34" s="138" t="s">
        <v>356</v>
      </c>
      <c r="F34" s="139" t="s">
        <v>357</v>
      </c>
      <c r="G34" s="140">
        <v>149392990</v>
      </c>
      <c r="H34" s="140">
        <v>88</v>
      </c>
      <c r="I34" s="140">
        <v>0</v>
      </c>
      <c r="J34" s="141">
        <f t="shared" si="0"/>
        <v>88</v>
      </c>
      <c r="K34" s="49">
        <f t="shared" si="1"/>
        <v>0</v>
      </c>
      <c r="L34" s="49"/>
      <c r="M34" s="50" t="s">
        <v>111</v>
      </c>
      <c r="N34" s="50"/>
      <c r="O34" s="143" t="s">
        <v>662</v>
      </c>
      <c r="P34" s="69" t="s">
        <v>537</v>
      </c>
    </row>
    <row r="35" spans="2:16" ht="218.4" x14ac:dyDescent="0.6">
      <c r="B35" s="32">
        <v>32</v>
      </c>
      <c r="C35" s="40" t="s">
        <v>102</v>
      </c>
      <c r="D35" s="32" t="s">
        <v>64</v>
      </c>
      <c r="E35" s="138" t="s">
        <v>358</v>
      </c>
      <c r="F35" s="138" t="s">
        <v>359</v>
      </c>
      <c r="G35" s="140">
        <v>1722020292</v>
      </c>
      <c r="H35" s="140">
        <v>904</v>
      </c>
      <c r="I35" s="140">
        <v>0</v>
      </c>
      <c r="J35" s="141">
        <f t="shared" si="0"/>
        <v>904</v>
      </c>
      <c r="K35" s="49">
        <f t="shared" si="1"/>
        <v>0</v>
      </c>
      <c r="L35" s="49"/>
      <c r="M35" s="50" t="s">
        <v>111</v>
      </c>
      <c r="N35" s="50"/>
      <c r="O35" s="143" t="s">
        <v>663</v>
      </c>
      <c r="P35" s="69" t="s">
        <v>547</v>
      </c>
    </row>
    <row r="36" spans="2:16" ht="124.8" x14ac:dyDescent="0.6">
      <c r="B36" s="144">
        <v>33</v>
      </c>
      <c r="C36" s="145" t="s">
        <v>102</v>
      </c>
      <c r="D36" s="144" t="s">
        <v>64</v>
      </c>
      <c r="E36" s="146" t="s">
        <v>360</v>
      </c>
      <c r="F36" s="146" t="s">
        <v>361</v>
      </c>
      <c r="G36" s="147">
        <v>57696121</v>
      </c>
      <c r="H36" s="147">
        <v>29</v>
      </c>
      <c r="I36" s="147">
        <v>0</v>
      </c>
      <c r="J36" s="148">
        <f t="shared" si="0"/>
        <v>29</v>
      </c>
      <c r="K36" s="149">
        <f t="shared" si="1"/>
        <v>0</v>
      </c>
      <c r="L36" s="149"/>
      <c r="M36" s="150" t="s">
        <v>495</v>
      </c>
      <c r="N36" s="150"/>
      <c r="O36" s="151" t="s">
        <v>664</v>
      </c>
      <c r="P36" s="152" t="s">
        <v>495</v>
      </c>
    </row>
    <row r="37" spans="2:16" ht="156" x14ac:dyDescent="0.6">
      <c r="B37" s="32">
        <v>34</v>
      </c>
      <c r="C37" s="40" t="s">
        <v>102</v>
      </c>
      <c r="D37" s="32" t="s">
        <v>64</v>
      </c>
      <c r="E37" s="138" t="s">
        <v>362</v>
      </c>
      <c r="F37" s="138" t="s">
        <v>363</v>
      </c>
      <c r="G37" s="140">
        <v>134399396</v>
      </c>
      <c r="H37" s="140">
        <v>55</v>
      </c>
      <c r="I37" s="140">
        <v>0</v>
      </c>
      <c r="J37" s="141">
        <f t="shared" si="0"/>
        <v>55</v>
      </c>
      <c r="K37" s="49">
        <f t="shared" si="1"/>
        <v>0</v>
      </c>
      <c r="L37" s="49"/>
      <c r="M37" s="50" t="s">
        <v>111</v>
      </c>
      <c r="N37" s="50"/>
      <c r="O37" s="143" t="s">
        <v>548</v>
      </c>
      <c r="P37" s="69" t="s">
        <v>537</v>
      </c>
    </row>
    <row r="38" spans="2:16" ht="156" x14ac:dyDescent="0.6">
      <c r="B38" s="32">
        <v>35</v>
      </c>
      <c r="C38" s="40" t="s">
        <v>102</v>
      </c>
      <c r="D38" s="32" t="s">
        <v>64</v>
      </c>
      <c r="E38" s="138" t="s">
        <v>364</v>
      </c>
      <c r="F38" s="138" t="s">
        <v>365</v>
      </c>
      <c r="G38" s="140">
        <v>161289261</v>
      </c>
      <c r="H38" s="140">
        <v>87</v>
      </c>
      <c r="I38" s="140">
        <v>0</v>
      </c>
      <c r="J38" s="141">
        <f t="shared" si="0"/>
        <v>87</v>
      </c>
      <c r="K38" s="49">
        <f t="shared" si="1"/>
        <v>0</v>
      </c>
      <c r="L38" s="49"/>
      <c r="M38" s="50" t="s">
        <v>111</v>
      </c>
      <c r="N38" s="50"/>
      <c r="O38" s="143" t="s">
        <v>548</v>
      </c>
      <c r="P38" s="69" t="s">
        <v>537</v>
      </c>
    </row>
    <row r="39" spans="2:16" ht="156" x14ac:dyDescent="0.6">
      <c r="B39" s="32">
        <v>36</v>
      </c>
      <c r="C39" s="40" t="s">
        <v>102</v>
      </c>
      <c r="D39" s="32" t="s">
        <v>64</v>
      </c>
      <c r="E39" s="138" t="s">
        <v>366</v>
      </c>
      <c r="F39" s="138" t="s">
        <v>367</v>
      </c>
      <c r="G39" s="140">
        <v>53491610</v>
      </c>
      <c r="H39" s="140">
        <v>22</v>
      </c>
      <c r="I39" s="140">
        <v>0</v>
      </c>
      <c r="J39" s="141">
        <f t="shared" si="0"/>
        <v>22</v>
      </c>
      <c r="K39" s="49">
        <f t="shared" si="1"/>
        <v>0</v>
      </c>
      <c r="L39" s="49"/>
      <c r="M39" s="50" t="s">
        <v>111</v>
      </c>
      <c r="N39" s="50"/>
      <c r="O39" s="143" t="s">
        <v>548</v>
      </c>
      <c r="P39" s="69" t="s">
        <v>537</v>
      </c>
    </row>
    <row r="40" spans="2:16" ht="156" x14ac:dyDescent="0.6">
      <c r="B40" s="32">
        <v>37</v>
      </c>
      <c r="C40" s="40" t="s">
        <v>102</v>
      </c>
      <c r="D40" s="32" t="s">
        <v>64</v>
      </c>
      <c r="E40" s="138" t="s">
        <v>368</v>
      </c>
      <c r="F40" s="138" t="s">
        <v>369</v>
      </c>
      <c r="G40" s="140">
        <v>139276257</v>
      </c>
      <c r="H40" s="140">
        <v>85</v>
      </c>
      <c r="I40" s="140">
        <v>0</v>
      </c>
      <c r="J40" s="141">
        <f t="shared" si="0"/>
        <v>85</v>
      </c>
      <c r="K40" s="49">
        <f t="shared" si="1"/>
        <v>0</v>
      </c>
      <c r="L40" s="49"/>
      <c r="M40" s="50" t="s">
        <v>111</v>
      </c>
      <c r="N40" s="50"/>
      <c r="O40" s="143" t="s">
        <v>548</v>
      </c>
      <c r="P40" s="69" t="s">
        <v>537</v>
      </c>
    </row>
    <row r="41" spans="2:16" ht="124.8" x14ac:dyDescent="0.6">
      <c r="B41" s="144">
        <v>38</v>
      </c>
      <c r="C41" s="145" t="s">
        <v>102</v>
      </c>
      <c r="D41" s="144" t="s">
        <v>64</v>
      </c>
      <c r="E41" s="146" t="s">
        <v>370</v>
      </c>
      <c r="F41" s="146" t="s">
        <v>371</v>
      </c>
      <c r="G41" s="147">
        <v>74085744</v>
      </c>
      <c r="H41" s="147">
        <v>38</v>
      </c>
      <c r="I41" s="147">
        <v>0</v>
      </c>
      <c r="J41" s="148">
        <f t="shared" si="0"/>
        <v>38</v>
      </c>
      <c r="K41" s="149">
        <f t="shared" si="1"/>
        <v>0</v>
      </c>
      <c r="L41" s="149"/>
      <c r="M41" s="150" t="s">
        <v>495</v>
      </c>
      <c r="N41" s="150"/>
      <c r="O41" s="151" t="s">
        <v>664</v>
      </c>
      <c r="P41" s="152" t="s">
        <v>495</v>
      </c>
    </row>
    <row r="42" spans="2:16" ht="124.8" x14ac:dyDescent="0.6">
      <c r="B42" s="144">
        <v>39</v>
      </c>
      <c r="C42" s="145" t="s">
        <v>102</v>
      </c>
      <c r="D42" s="144" t="s">
        <v>64</v>
      </c>
      <c r="E42" s="146" t="s">
        <v>372</v>
      </c>
      <c r="F42" s="146" t="s">
        <v>373</v>
      </c>
      <c r="G42" s="147">
        <v>109944292</v>
      </c>
      <c r="H42" s="147">
        <v>45</v>
      </c>
      <c r="I42" s="147">
        <v>0</v>
      </c>
      <c r="J42" s="148">
        <f t="shared" si="0"/>
        <v>45</v>
      </c>
      <c r="K42" s="149">
        <f t="shared" si="1"/>
        <v>0</v>
      </c>
      <c r="L42" s="149"/>
      <c r="M42" s="150" t="s">
        <v>495</v>
      </c>
      <c r="N42" s="150"/>
      <c r="O42" s="151" t="s">
        <v>664</v>
      </c>
      <c r="P42" s="152" t="s">
        <v>495</v>
      </c>
    </row>
    <row r="43" spans="2:16" ht="124.8" x14ac:dyDescent="0.6">
      <c r="B43" s="144">
        <v>40</v>
      </c>
      <c r="C43" s="145" t="s">
        <v>102</v>
      </c>
      <c r="D43" s="144" t="s">
        <v>64</v>
      </c>
      <c r="E43" s="146" t="s">
        <v>374</v>
      </c>
      <c r="F43" s="146" t="s">
        <v>375</v>
      </c>
      <c r="G43" s="147">
        <v>370414688</v>
      </c>
      <c r="H43" s="147">
        <v>178</v>
      </c>
      <c r="I43" s="147">
        <v>0</v>
      </c>
      <c r="J43" s="148">
        <f t="shared" si="0"/>
        <v>178</v>
      </c>
      <c r="K43" s="149">
        <f t="shared" si="1"/>
        <v>0</v>
      </c>
      <c r="L43" s="149"/>
      <c r="M43" s="150" t="s">
        <v>495</v>
      </c>
      <c r="N43" s="150"/>
      <c r="O43" s="151" t="s">
        <v>664</v>
      </c>
      <c r="P43" s="152" t="s">
        <v>495</v>
      </c>
    </row>
    <row r="44" spans="2:16" ht="156" x14ac:dyDescent="0.6">
      <c r="B44" s="32">
        <v>41</v>
      </c>
      <c r="C44" s="40" t="s">
        <v>102</v>
      </c>
      <c r="D44" s="32" t="s">
        <v>64</v>
      </c>
      <c r="E44" s="138" t="s">
        <v>376</v>
      </c>
      <c r="F44" s="138" t="s">
        <v>377</v>
      </c>
      <c r="G44" s="140">
        <v>4385993618</v>
      </c>
      <c r="H44" s="140">
        <v>1886</v>
      </c>
      <c r="I44" s="140">
        <v>0</v>
      </c>
      <c r="J44" s="141">
        <f t="shared" si="0"/>
        <v>1886</v>
      </c>
      <c r="K44" s="49">
        <f t="shared" si="1"/>
        <v>0</v>
      </c>
      <c r="L44" s="49"/>
      <c r="M44" s="50" t="s">
        <v>111</v>
      </c>
      <c r="N44" s="50"/>
      <c r="O44" s="143" t="s">
        <v>548</v>
      </c>
      <c r="P44" s="69" t="s">
        <v>547</v>
      </c>
    </row>
    <row r="45" spans="2:16" ht="156" x14ac:dyDescent="0.6">
      <c r="B45" s="32">
        <v>42</v>
      </c>
      <c r="C45" s="40" t="s">
        <v>102</v>
      </c>
      <c r="D45" s="32" t="s">
        <v>64</v>
      </c>
      <c r="E45" s="138" t="s">
        <v>378</v>
      </c>
      <c r="F45" s="138" t="s">
        <v>379</v>
      </c>
      <c r="G45" s="140">
        <v>144117900</v>
      </c>
      <c r="H45" s="140">
        <v>76</v>
      </c>
      <c r="I45" s="140">
        <v>0</v>
      </c>
      <c r="J45" s="141">
        <f t="shared" si="0"/>
        <v>76</v>
      </c>
      <c r="K45" s="49">
        <f t="shared" si="1"/>
        <v>0</v>
      </c>
      <c r="L45" s="49"/>
      <c r="M45" s="50" t="s">
        <v>111</v>
      </c>
      <c r="N45" s="50"/>
      <c r="O45" s="143" t="s">
        <v>549</v>
      </c>
      <c r="P45" s="69" t="s">
        <v>537</v>
      </c>
    </row>
    <row r="46" spans="2:16" ht="156" x14ac:dyDescent="0.6">
      <c r="B46" s="32">
        <v>43</v>
      </c>
      <c r="C46" s="40" t="s">
        <v>102</v>
      </c>
      <c r="D46" s="32" t="s">
        <v>64</v>
      </c>
      <c r="E46" s="138" t="s">
        <v>380</v>
      </c>
      <c r="F46" s="138" t="s">
        <v>381</v>
      </c>
      <c r="G46" s="140">
        <v>397410146</v>
      </c>
      <c r="H46" s="140">
        <v>299</v>
      </c>
      <c r="I46" s="140">
        <v>0</v>
      </c>
      <c r="J46" s="141">
        <f t="shared" si="0"/>
        <v>299</v>
      </c>
      <c r="K46" s="49">
        <f t="shared" si="1"/>
        <v>0</v>
      </c>
      <c r="L46" s="49"/>
      <c r="M46" s="50" t="s">
        <v>111</v>
      </c>
      <c r="N46" s="50"/>
      <c r="O46" s="143" t="s">
        <v>550</v>
      </c>
      <c r="P46" s="69" t="s">
        <v>537</v>
      </c>
    </row>
    <row r="47" spans="2:16" ht="156" x14ac:dyDescent="0.6">
      <c r="B47" s="32">
        <v>44</v>
      </c>
      <c r="C47" s="40" t="s">
        <v>102</v>
      </c>
      <c r="D47" s="32" t="s">
        <v>64</v>
      </c>
      <c r="E47" s="138" t="s">
        <v>382</v>
      </c>
      <c r="F47" s="138" t="s">
        <v>383</v>
      </c>
      <c r="G47" s="140">
        <v>439784117</v>
      </c>
      <c r="H47" s="140">
        <v>308</v>
      </c>
      <c r="I47" s="140">
        <v>0</v>
      </c>
      <c r="J47" s="141">
        <f t="shared" si="0"/>
        <v>308</v>
      </c>
      <c r="K47" s="49">
        <f t="shared" si="1"/>
        <v>0</v>
      </c>
      <c r="L47" s="49"/>
      <c r="M47" s="50" t="s">
        <v>111</v>
      </c>
      <c r="N47" s="50"/>
      <c r="O47" s="143" t="s">
        <v>550</v>
      </c>
      <c r="P47" s="69" t="s">
        <v>537</v>
      </c>
    </row>
    <row r="48" spans="2:16" ht="124.8" x14ac:dyDescent="0.6">
      <c r="B48" s="144">
        <v>45</v>
      </c>
      <c r="C48" s="145" t="s">
        <v>102</v>
      </c>
      <c r="D48" s="144" t="s">
        <v>64</v>
      </c>
      <c r="E48" s="153" t="s">
        <v>384</v>
      </c>
      <c r="F48" s="153" t="s">
        <v>385</v>
      </c>
      <c r="G48" s="147">
        <v>92727468</v>
      </c>
      <c r="H48" s="147">
        <v>50</v>
      </c>
      <c r="I48" s="147">
        <v>0</v>
      </c>
      <c r="J48" s="148">
        <f t="shared" si="0"/>
        <v>50</v>
      </c>
      <c r="K48" s="149">
        <f t="shared" si="1"/>
        <v>0</v>
      </c>
      <c r="L48" s="149"/>
      <c r="M48" s="150" t="s">
        <v>495</v>
      </c>
      <c r="N48" s="150"/>
      <c r="O48" s="154" t="s">
        <v>664</v>
      </c>
      <c r="P48" s="152" t="s">
        <v>495</v>
      </c>
    </row>
    <row r="49" spans="2:16" ht="156" x14ac:dyDescent="0.6">
      <c r="B49" s="32">
        <v>46</v>
      </c>
      <c r="C49" s="40" t="s">
        <v>102</v>
      </c>
      <c r="D49" s="32" t="s">
        <v>64</v>
      </c>
      <c r="E49" s="138" t="s">
        <v>386</v>
      </c>
      <c r="F49" s="139" t="s">
        <v>387</v>
      </c>
      <c r="G49" s="140">
        <v>3977952179</v>
      </c>
      <c r="H49" s="140">
        <v>2739</v>
      </c>
      <c r="I49" s="140">
        <v>0</v>
      </c>
      <c r="J49" s="141">
        <f t="shared" si="0"/>
        <v>2739</v>
      </c>
      <c r="K49" s="49">
        <f t="shared" si="1"/>
        <v>0</v>
      </c>
      <c r="L49" s="49"/>
      <c r="M49" s="50" t="s">
        <v>111</v>
      </c>
      <c r="N49" s="50"/>
      <c r="O49" s="143" t="s">
        <v>665</v>
      </c>
      <c r="P49" s="69" t="s">
        <v>551</v>
      </c>
    </row>
    <row r="50" spans="2:16" ht="62.4" x14ac:dyDescent="0.6">
      <c r="B50" s="32">
        <v>47</v>
      </c>
      <c r="C50" s="40" t="s">
        <v>102</v>
      </c>
      <c r="D50" s="32" t="s">
        <v>64</v>
      </c>
      <c r="E50" s="138" t="s">
        <v>388</v>
      </c>
      <c r="F50" s="139" t="s">
        <v>389</v>
      </c>
      <c r="G50" s="140">
        <v>83966978</v>
      </c>
      <c r="H50" s="140">
        <v>40</v>
      </c>
      <c r="I50" s="140">
        <v>40</v>
      </c>
      <c r="J50" s="141"/>
      <c r="K50" s="49">
        <v>1</v>
      </c>
      <c r="L50" s="49"/>
      <c r="M50" s="50" t="s">
        <v>14</v>
      </c>
      <c r="N50" s="50"/>
      <c r="O50" s="142" t="s">
        <v>223</v>
      </c>
      <c r="P50" s="142" t="s">
        <v>223</v>
      </c>
    </row>
    <row r="51" spans="2:16" ht="156" x14ac:dyDescent="0.6">
      <c r="B51" s="32">
        <v>48</v>
      </c>
      <c r="C51" s="40" t="s">
        <v>102</v>
      </c>
      <c r="D51" s="32" t="s">
        <v>64</v>
      </c>
      <c r="E51" s="138" t="s">
        <v>390</v>
      </c>
      <c r="F51" s="138" t="s">
        <v>391</v>
      </c>
      <c r="G51" s="140">
        <v>175616747</v>
      </c>
      <c r="H51" s="140">
        <v>139</v>
      </c>
      <c r="I51" s="140">
        <v>0</v>
      </c>
      <c r="J51" s="141">
        <f t="shared" si="0"/>
        <v>139</v>
      </c>
      <c r="K51" s="49">
        <f t="shared" si="1"/>
        <v>0</v>
      </c>
      <c r="L51" s="49"/>
      <c r="M51" s="50" t="s">
        <v>111</v>
      </c>
      <c r="N51" s="50"/>
      <c r="O51" s="142" t="s">
        <v>552</v>
      </c>
      <c r="P51" s="69" t="s">
        <v>537</v>
      </c>
    </row>
    <row r="52" spans="2:16" ht="409.6" x14ac:dyDescent="0.6">
      <c r="B52" s="32">
        <v>49</v>
      </c>
      <c r="C52" s="40" t="s">
        <v>102</v>
      </c>
      <c r="D52" s="32" t="s">
        <v>64</v>
      </c>
      <c r="E52" s="138" t="s">
        <v>392</v>
      </c>
      <c r="F52" s="138" t="s">
        <v>393</v>
      </c>
      <c r="G52" s="140">
        <v>5348596655</v>
      </c>
      <c r="H52" s="140">
        <v>3239</v>
      </c>
      <c r="I52" s="140">
        <v>0</v>
      </c>
      <c r="J52" s="141">
        <f t="shared" si="0"/>
        <v>3239</v>
      </c>
      <c r="K52" s="49">
        <f t="shared" si="1"/>
        <v>0</v>
      </c>
      <c r="L52" s="49"/>
      <c r="M52" s="50" t="s">
        <v>111</v>
      </c>
      <c r="N52" s="50"/>
      <c r="O52" s="142" t="s">
        <v>666</v>
      </c>
      <c r="P52" s="69" t="s">
        <v>551</v>
      </c>
    </row>
    <row r="53" spans="2:16" ht="156" x14ac:dyDescent="0.6">
      <c r="B53" s="32">
        <v>50</v>
      </c>
      <c r="C53" s="40" t="s">
        <v>102</v>
      </c>
      <c r="D53" s="32" t="s">
        <v>64</v>
      </c>
      <c r="E53" s="138" t="s">
        <v>394</v>
      </c>
      <c r="F53" s="138" t="s">
        <v>395</v>
      </c>
      <c r="G53" s="140">
        <v>52865951</v>
      </c>
      <c r="H53" s="140">
        <v>21</v>
      </c>
      <c r="I53" s="140">
        <v>0</v>
      </c>
      <c r="J53" s="141">
        <f t="shared" si="0"/>
        <v>21</v>
      </c>
      <c r="K53" s="49">
        <f t="shared" si="1"/>
        <v>0</v>
      </c>
      <c r="L53" s="49"/>
      <c r="M53" s="50" t="s">
        <v>111</v>
      </c>
      <c r="N53" s="50"/>
      <c r="O53" s="142" t="s">
        <v>667</v>
      </c>
      <c r="P53" s="69" t="s">
        <v>553</v>
      </c>
    </row>
    <row r="54" spans="2:16" ht="280.8" x14ac:dyDescent="0.6">
      <c r="B54" s="32">
        <v>51</v>
      </c>
      <c r="C54" s="40" t="s">
        <v>102</v>
      </c>
      <c r="D54" s="32" t="s">
        <v>64</v>
      </c>
      <c r="E54" s="138" t="s">
        <v>396</v>
      </c>
      <c r="F54" s="138" t="s">
        <v>397</v>
      </c>
      <c r="G54" s="140">
        <v>813837557</v>
      </c>
      <c r="H54" s="140">
        <v>906</v>
      </c>
      <c r="I54" s="140">
        <v>878</v>
      </c>
      <c r="J54" s="141">
        <f t="shared" si="0"/>
        <v>28</v>
      </c>
      <c r="K54" s="49">
        <f t="shared" si="1"/>
        <v>0.9690949227373068</v>
      </c>
      <c r="L54" s="49"/>
      <c r="M54" s="50" t="s">
        <v>50</v>
      </c>
      <c r="N54" s="50"/>
      <c r="O54" s="142" t="s">
        <v>668</v>
      </c>
      <c r="P54" s="69" t="s">
        <v>538</v>
      </c>
    </row>
    <row r="55" spans="2:16" ht="93.6" x14ac:dyDescent="0.6">
      <c r="B55" s="32">
        <v>52</v>
      </c>
      <c r="C55" s="40" t="s">
        <v>102</v>
      </c>
      <c r="D55" s="32" t="s">
        <v>64</v>
      </c>
      <c r="E55" s="138" t="s">
        <v>398</v>
      </c>
      <c r="F55" s="139" t="s">
        <v>399</v>
      </c>
      <c r="G55" s="140">
        <v>197913041</v>
      </c>
      <c r="H55" s="140">
        <v>131</v>
      </c>
      <c r="I55" s="140">
        <v>125.7</v>
      </c>
      <c r="J55" s="141"/>
      <c r="K55" s="49">
        <v>1</v>
      </c>
      <c r="L55" s="49"/>
      <c r="M55" s="50" t="s">
        <v>14</v>
      </c>
      <c r="N55" s="50"/>
      <c r="O55" s="142" t="s">
        <v>223</v>
      </c>
      <c r="P55" s="142" t="s">
        <v>223</v>
      </c>
    </row>
    <row r="56" spans="2:16" ht="156" x14ac:dyDescent="0.6">
      <c r="B56" s="32">
        <v>53</v>
      </c>
      <c r="C56" s="40" t="s">
        <v>102</v>
      </c>
      <c r="D56" s="32" t="s">
        <v>64</v>
      </c>
      <c r="E56" s="138" t="s">
        <v>400</v>
      </c>
      <c r="F56" s="138" t="s">
        <v>401</v>
      </c>
      <c r="G56" s="140">
        <v>1008199980</v>
      </c>
      <c r="H56" s="140">
        <v>726</v>
      </c>
      <c r="I56" s="140">
        <v>424</v>
      </c>
      <c r="J56" s="141"/>
      <c r="K56" s="49">
        <v>1</v>
      </c>
      <c r="L56" s="49"/>
      <c r="M56" s="50" t="s">
        <v>75</v>
      </c>
      <c r="N56" s="50"/>
      <c r="O56" s="142" t="s">
        <v>554</v>
      </c>
      <c r="P56" s="69" t="s">
        <v>555</v>
      </c>
    </row>
    <row r="57" spans="2:16" ht="156" x14ac:dyDescent="0.6">
      <c r="B57" s="32">
        <v>54</v>
      </c>
      <c r="C57" s="40" t="s">
        <v>102</v>
      </c>
      <c r="D57" s="32" t="s">
        <v>64</v>
      </c>
      <c r="E57" s="138" t="s">
        <v>402</v>
      </c>
      <c r="F57" s="138" t="s">
        <v>403</v>
      </c>
      <c r="G57" s="140">
        <v>1011338357</v>
      </c>
      <c r="H57" s="140">
        <v>692</v>
      </c>
      <c r="I57" s="140">
        <v>701.2</v>
      </c>
      <c r="J57" s="141">
        <f t="shared" si="0"/>
        <v>-9.2000000000000455</v>
      </c>
      <c r="K57" s="49">
        <f t="shared" si="1"/>
        <v>1.0132947976878612</v>
      </c>
      <c r="L57" s="49"/>
      <c r="M57" s="50" t="s">
        <v>62</v>
      </c>
      <c r="N57" s="50"/>
      <c r="O57" s="142" t="s">
        <v>669</v>
      </c>
      <c r="P57" s="69" t="s">
        <v>537</v>
      </c>
    </row>
    <row r="58" spans="2:16" ht="156" x14ac:dyDescent="0.6">
      <c r="B58" s="32">
        <v>55</v>
      </c>
      <c r="C58" s="40" t="s">
        <v>102</v>
      </c>
      <c r="D58" s="32" t="s">
        <v>64</v>
      </c>
      <c r="E58" s="138" t="s">
        <v>404</v>
      </c>
      <c r="F58" s="138" t="s">
        <v>405</v>
      </c>
      <c r="G58" s="140">
        <v>143518985</v>
      </c>
      <c r="H58" s="140">
        <v>144</v>
      </c>
      <c r="I58" s="140">
        <v>0</v>
      </c>
      <c r="J58" s="141">
        <f t="shared" si="0"/>
        <v>144</v>
      </c>
      <c r="K58" s="49">
        <f t="shared" si="1"/>
        <v>0</v>
      </c>
      <c r="L58" s="49"/>
      <c r="M58" s="50" t="s">
        <v>111</v>
      </c>
      <c r="N58" s="50"/>
      <c r="O58" s="142" t="s">
        <v>670</v>
      </c>
      <c r="P58" s="69" t="s">
        <v>537</v>
      </c>
    </row>
    <row r="59" spans="2:16" ht="156" x14ac:dyDescent="0.6">
      <c r="B59" s="32">
        <v>56</v>
      </c>
      <c r="C59" s="40" t="s">
        <v>102</v>
      </c>
      <c r="D59" s="32" t="s">
        <v>64</v>
      </c>
      <c r="E59" s="138" t="s">
        <v>406</v>
      </c>
      <c r="F59" s="138" t="s">
        <v>407</v>
      </c>
      <c r="G59" s="140">
        <v>3781807025</v>
      </c>
      <c r="H59" s="140">
        <v>738</v>
      </c>
      <c r="I59" s="140">
        <v>575</v>
      </c>
      <c r="J59" s="141">
        <f t="shared" si="0"/>
        <v>163</v>
      </c>
      <c r="K59" s="49">
        <f t="shared" si="1"/>
        <v>0.77913279132791324</v>
      </c>
      <c r="L59" s="49"/>
      <c r="M59" s="50" t="s">
        <v>50</v>
      </c>
      <c r="N59" s="50"/>
      <c r="O59" s="142" t="s">
        <v>50</v>
      </c>
      <c r="P59" s="69" t="s">
        <v>538</v>
      </c>
    </row>
    <row r="60" spans="2:16" ht="409.6" x14ac:dyDescent="0.6">
      <c r="B60" s="32">
        <v>57</v>
      </c>
      <c r="C60" s="40" t="s">
        <v>170</v>
      </c>
      <c r="D60" s="32" t="s">
        <v>47</v>
      </c>
      <c r="E60" s="138" t="s">
        <v>408</v>
      </c>
      <c r="F60" s="139" t="s">
        <v>409</v>
      </c>
      <c r="G60" s="140">
        <v>7715694400</v>
      </c>
      <c r="H60" s="140">
        <v>2073</v>
      </c>
      <c r="I60" s="140">
        <v>0</v>
      </c>
      <c r="J60" s="141">
        <f t="shared" si="0"/>
        <v>2073</v>
      </c>
      <c r="K60" s="49">
        <f t="shared" si="1"/>
        <v>0</v>
      </c>
      <c r="L60" s="49"/>
      <c r="M60" s="50" t="s">
        <v>111</v>
      </c>
      <c r="N60" s="50"/>
      <c r="O60" s="143" t="s">
        <v>671</v>
      </c>
      <c r="P60" s="69" t="s">
        <v>545</v>
      </c>
    </row>
    <row r="61" spans="2:16" ht="156" x14ac:dyDescent="0.6">
      <c r="B61" s="32">
        <v>58</v>
      </c>
      <c r="C61" s="40" t="s">
        <v>170</v>
      </c>
      <c r="D61" s="32" t="s">
        <v>47</v>
      </c>
      <c r="E61" s="138" t="s">
        <v>410</v>
      </c>
      <c r="F61" s="139" t="s">
        <v>411</v>
      </c>
      <c r="G61" s="140">
        <v>14840782090</v>
      </c>
      <c r="H61" s="140">
        <v>2605</v>
      </c>
      <c r="I61" s="140">
        <v>0</v>
      </c>
      <c r="J61" s="141">
        <f t="shared" si="0"/>
        <v>2605</v>
      </c>
      <c r="K61" s="49">
        <f t="shared" si="1"/>
        <v>0</v>
      </c>
      <c r="L61" s="49"/>
      <c r="M61" s="50" t="s">
        <v>111</v>
      </c>
      <c r="N61" s="50"/>
      <c r="O61" s="143" t="s">
        <v>672</v>
      </c>
      <c r="P61" s="69" t="s">
        <v>545</v>
      </c>
    </row>
    <row r="62" spans="2:16" ht="343.2" x14ac:dyDescent="0.6">
      <c r="B62" s="32">
        <v>59</v>
      </c>
      <c r="C62" s="40" t="s">
        <v>170</v>
      </c>
      <c r="D62" s="32" t="s">
        <v>47</v>
      </c>
      <c r="E62" s="138" t="s">
        <v>412</v>
      </c>
      <c r="F62" s="139" t="s">
        <v>413</v>
      </c>
      <c r="G62" s="140">
        <v>12651074528</v>
      </c>
      <c r="H62" s="140">
        <v>9025</v>
      </c>
      <c r="I62" s="140">
        <v>1698</v>
      </c>
      <c r="J62" s="141">
        <f t="shared" si="0"/>
        <v>7327</v>
      </c>
      <c r="K62" s="49">
        <f t="shared" si="1"/>
        <v>0.18814404432132964</v>
      </c>
      <c r="L62" s="49"/>
      <c r="M62" s="50" t="s">
        <v>50</v>
      </c>
      <c r="N62" s="50"/>
      <c r="O62" s="142" t="s">
        <v>673</v>
      </c>
      <c r="P62" s="69" t="s">
        <v>542</v>
      </c>
    </row>
    <row r="63" spans="2:16" ht="156" x14ac:dyDescent="0.6">
      <c r="B63" s="32">
        <v>60</v>
      </c>
      <c r="C63" s="40" t="s">
        <v>170</v>
      </c>
      <c r="D63" s="32" t="s">
        <v>47</v>
      </c>
      <c r="E63" s="138" t="s">
        <v>414</v>
      </c>
      <c r="F63" s="139" t="s">
        <v>415</v>
      </c>
      <c r="G63" s="140">
        <v>10857149703</v>
      </c>
      <c r="H63" s="140">
        <v>7481</v>
      </c>
      <c r="I63" s="140">
        <v>974</v>
      </c>
      <c r="J63" s="141">
        <f t="shared" si="0"/>
        <v>6507</v>
      </c>
      <c r="K63" s="49">
        <f t="shared" si="1"/>
        <v>0.1301964977944125</v>
      </c>
      <c r="L63" s="49"/>
      <c r="M63" s="50" t="s">
        <v>50</v>
      </c>
      <c r="N63" s="50"/>
      <c r="O63" s="143" t="s">
        <v>674</v>
      </c>
      <c r="P63" s="69" t="s">
        <v>542</v>
      </c>
    </row>
    <row r="64" spans="2:16" ht="156" x14ac:dyDescent="0.6">
      <c r="B64" s="32">
        <v>61</v>
      </c>
      <c r="C64" s="40" t="s">
        <v>170</v>
      </c>
      <c r="D64" s="32" t="s">
        <v>47</v>
      </c>
      <c r="E64" s="138" t="s">
        <v>416</v>
      </c>
      <c r="F64" s="139" t="s">
        <v>417</v>
      </c>
      <c r="G64" s="140">
        <v>20533334817</v>
      </c>
      <c r="H64" s="140">
        <v>13619</v>
      </c>
      <c r="I64" s="140">
        <v>0</v>
      </c>
      <c r="J64" s="141">
        <f t="shared" si="0"/>
        <v>13619</v>
      </c>
      <c r="K64" s="49">
        <f t="shared" si="1"/>
        <v>0</v>
      </c>
      <c r="L64" s="49"/>
      <c r="M64" s="50" t="s">
        <v>111</v>
      </c>
      <c r="N64" s="50"/>
      <c r="O64" s="142" t="s">
        <v>675</v>
      </c>
      <c r="P64" s="69" t="s">
        <v>542</v>
      </c>
    </row>
    <row r="65" spans="2:16" ht="156" x14ac:dyDescent="0.6">
      <c r="B65" s="32">
        <v>62</v>
      </c>
      <c r="C65" s="40" t="s">
        <v>170</v>
      </c>
      <c r="D65" s="32" t="s">
        <v>47</v>
      </c>
      <c r="E65" s="138" t="s">
        <v>418</v>
      </c>
      <c r="F65" s="139" t="s">
        <v>419</v>
      </c>
      <c r="G65" s="140">
        <v>18660886051</v>
      </c>
      <c r="H65" s="140">
        <v>13978</v>
      </c>
      <c r="I65" s="140">
        <v>0</v>
      </c>
      <c r="J65" s="141">
        <f t="shared" si="0"/>
        <v>13978</v>
      </c>
      <c r="K65" s="49">
        <f t="shared" si="1"/>
        <v>0</v>
      </c>
      <c r="L65" s="49"/>
      <c r="M65" s="50" t="s">
        <v>111</v>
      </c>
      <c r="N65" s="50"/>
      <c r="O65" s="142" t="s">
        <v>676</v>
      </c>
      <c r="P65" s="69" t="s">
        <v>542</v>
      </c>
    </row>
    <row r="66" spans="2:16" ht="156" x14ac:dyDescent="0.6">
      <c r="B66" s="32">
        <v>63</v>
      </c>
      <c r="C66" s="40" t="s">
        <v>170</v>
      </c>
      <c r="D66" s="32" t="s">
        <v>47</v>
      </c>
      <c r="E66" s="138" t="s">
        <v>420</v>
      </c>
      <c r="F66" s="139" t="s">
        <v>421</v>
      </c>
      <c r="G66" s="140">
        <v>28000944515</v>
      </c>
      <c r="H66" s="140">
        <v>19712</v>
      </c>
      <c r="I66" s="140">
        <v>3040</v>
      </c>
      <c r="J66" s="141">
        <f t="shared" si="0"/>
        <v>16672</v>
      </c>
      <c r="K66" s="49">
        <f t="shared" si="1"/>
        <v>0.15422077922077923</v>
      </c>
      <c r="L66" s="49"/>
      <c r="M66" s="50" t="s">
        <v>50</v>
      </c>
      <c r="N66" s="50"/>
      <c r="O66" s="142" t="s">
        <v>677</v>
      </c>
      <c r="P66" s="69" t="s">
        <v>542</v>
      </c>
    </row>
    <row r="67" spans="2:16" ht="312" x14ac:dyDescent="0.6">
      <c r="B67" s="32">
        <v>64</v>
      </c>
      <c r="C67" s="40" t="s">
        <v>170</v>
      </c>
      <c r="D67" s="32" t="s">
        <v>47</v>
      </c>
      <c r="E67" s="138" t="s">
        <v>422</v>
      </c>
      <c r="F67" s="139" t="s">
        <v>423</v>
      </c>
      <c r="G67" s="140">
        <v>7278372870</v>
      </c>
      <c r="H67" s="140">
        <v>5217</v>
      </c>
      <c r="I67" s="140">
        <v>2098</v>
      </c>
      <c r="J67" s="141">
        <f t="shared" si="0"/>
        <v>3119</v>
      </c>
      <c r="K67" s="49">
        <f t="shared" si="1"/>
        <v>0.40214682767874255</v>
      </c>
      <c r="L67" s="49"/>
      <c r="M67" s="50" t="s">
        <v>50</v>
      </c>
      <c r="N67" s="50"/>
      <c r="O67" s="143" t="s">
        <v>678</v>
      </c>
      <c r="P67" s="69" t="s">
        <v>542</v>
      </c>
    </row>
    <row r="68" spans="2:16" ht="156" x14ac:dyDescent="0.6">
      <c r="B68" s="32">
        <v>65</v>
      </c>
      <c r="C68" s="40" t="s">
        <v>170</v>
      </c>
      <c r="D68" s="32" t="s">
        <v>47</v>
      </c>
      <c r="E68" s="138" t="s">
        <v>424</v>
      </c>
      <c r="F68" s="139" t="s">
        <v>425</v>
      </c>
      <c r="G68" s="140">
        <v>17581844675</v>
      </c>
      <c r="H68" s="140">
        <v>12279</v>
      </c>
      <c r="I68" s="140">
        <v>2890</v>
      </c>
      <c r="J68" s="141">
        <f t="shared" si="0"/>
        <v>9389</v>
      </c>
      <c r="K68" s="49">
        <f t="shared" si="1"/>
        <v>0.23536118576431306</v>
      </c>
      <c r="L68" s="49"/>
      <c r="M68" s="50" t="s">
        <v>50</v>
      </c>
      <c r="N68" s="50"/>
      <c r="O68" s="142" t="s">
        <v>556</v>
      </c>
      <c r="P68" s="69" t="s">
        <v>542</v>
      </c>
    </row>
    <row r="69" spans="2:16" ht="156" x14ac:dyDescent="0.6">
      <c r="B69" s="32">
        <v>66</v>
      </c>
      <c r="C69" s="40" t="s">
        <v>170</v>
      </c>
      <c r="D69" s="32" t="s">
        <v>47</v>
      </c>
      <c r="E69" s="138" t="s">
        <v>426</v>
      </c>
      <c r="F69" s="139" t="s">
        <v>427</v>
      </c>
      <c r="G69" s="140">
        <v>8003246356</v>
      </c>
      <c r="H69" s="140">
        <v>5751</v>
      </c>
      <c r="I69" s="140">
        <v>4092</v>
      </c>
      <c r="J69" s="141">
        <f t="shared" si="0"/>
        <v>1659</v>
      </c>
      <c r="K69" s="49">
        <f t="shared" si="1"/>
        <v>0.71152842983828901</v>
      </c>
      <c r="L69" s="49"/>
      <c r="M69" s="50" t="s">
        <v>50</v>
      </c>
      <c r="N69" s="50"/>
      <c r="O69" s="142" t="s">
        <v>679</v>
      </c>
      <c r="P69" s="69" t="s">
        <v>542</v>
      </c>
    </row>
    <row r="70" spans="2:16" ht="156" x14ac:dyDescent="0.6">
      <c r="B70" s="32">
        <v>67</v>
      </c>
      <c r="C70" s="40" t="s">
        <v>170</v>
      </c>
      <c r="D70" s="32" t="s">
        <v>47</v>
      </c>
      <c r="E70" s="138" t="s">
        <v>428</v>
      </c>
      <c r="F70" s="139" t="s">
        <v>429</v>
      </c>
      <c r="G70" s="140">
        <v>5041142676</v>
      </c>
      <c r="H70" s="140">
        <v>3912</v>
      </c>
      <c r="I70" s="140">
        <v>0</v>
      </c>
      <c r="J70" s="141">
        <f t="shared" ref="J70:J99" si="2">H70-I70</f>
        <v>3912</v>
      </c>
      <c r="K70" s="49">
        <f t="shared" ref="K70:K99" si="3">I70/H70</f>
        <v>0</v>
      </c>
      <c r="L70" s="49"/>
      <c r="M70" s="50" t="s">
        <v>111</v>
      </c>
      <c r="N70" s="50"/>
      <c r="O70" s="143" t="s">
        <v>557</v>
      </c>
      <c r="P70" s="69" t="s">
        <v>542</v>
      </c>
    </row>
    <row r="71" spans="2:16" ht="156" x14ac:dyDescent="0.6">
      <c r="B71" s="32">
        <v>68</v>
      </c>
      <c r="C71" s="40" t="s">
        <v>170</v>
      </c>
      <c r="D71" s="32" t="s">
        <v>47</v>
      </c>
      <c r="E71" s="138" t="s">
        <v>430</v>
      </c>
      <c r="F71" s="139" t="s">
        <v>431</v>
      </c>
      <c r="G71" s="140">
        <v>73432392990</v>
      </c>
      <c r="H71" s="140">
        <v>54576</v>
      </c>
      <c r="I71" s="140">
        <v>455</v>
      </c>
      <c r="J71" s="141">
        <f t="shared" si="2"/>
        <v>54121</v>
      </c>
      <c r="K71" s="49">
        <f t="shared" si="3"/>
        <v>8.3369979478158905E-3</v>
      </c>
      <c r="L71" s="49"/>
      <c r="M71" s="50" t="s">
        <v>50</v>
      </c>
      <c r="N71" s="50"/>
      <c r="O71" s="143" t="s">
        <v>680</v>
      </c>
      <c r="P71" s="69" t="s">
        <v>542</v>
      </c>
    </row>
    <row r="72" spans="2:16" ht="156" x14ac:dyDescent="0.6">
      <c r="B72" s="32">
        <v>69</v>
      </c>
      <c r="C72" s="40" t="s">
        <v>170</v>
      </c>
      <c r="D72" s="32" t="s">
        <v>64</v>
      </c>
      <c r="E72" s="138" t="s">
        <v>432</v>
      </c>
      <c r="F72" s="138" t="s">
        <v>433</v>
      </c>
      <c r="G72" s="140">
        <v>47316244282</v>
      </c>
      <c r="H72" s="140">
        <v>39122</v>
      </c>
      <c r="I72" s="140">
        <v>0</v>
      </c>
      <c r="J72" s="141">
        <f t="shared" si="2"/>
        <v>39122</v>
      </c>
      <c r="K72" s="49">
        <f t="shared" si="3"/>
        <v>0</v>
      </c>
      <c r="L72" s="49"/>
      <c r="M72" s="50" t="s">
        <v>111</v>
      </c>
      <c r="N72" s="50"/>
      <c r="O72" s="142" t="s">
        <v>681</v>
      </c>
      <c r="P72" s="69" t="s">
        <v>542</v>
      </c>
    </row>
    <row r="73" spans="2:16" ht="156" x14ac:dyDescent="0.6">
      <c r="B73" s="32">
        <v>70</v>
      </c>
      <c r="C73" s="40" t="s">
        <v>170</v>
      </c>
      <c r="D73" s="32" t="s">
        <v>64</v>
      </c>
      <c r="E73" s="138" t="s">
        <v>434</v>
      </c>
      <c r="F73" s="138" t="s">
        <v>435</v>
      </c>
      <c r="G73" s="140">
        <v>1004532495</v>
      </c>
      <c r="H73" s="140">
        <v>672</v>
      </c>
      <c r="I73" s="140">
        <v>654</v>
      </c>
      <c r="J73" s="141">
        <f t="shared" si="2"/>
        <v>18</v>
      </c>
      <c r="K73" s="49">
        <f t="shared" si="3"/>
        <v>0.9732142857142857</v>
      </c>
      <c r="L73" s="49"/>
      <c r="M73" s="50" t="s">
        <v>50</v>
      </c>
      <c r="N73" s="50"/>
      <c r="O73" s="142" t="s">
        <v>682</v>
      </c>
      <c r="P73" s="69" t="s">
        <v>537</v>
      </c>
    </row>
    <row r="74" spans="2:16" ht="78" customHeight="1" x14ac:dyDescent="0.6">
      <c r="B74" s="32">
        <v>71</v>
      </c>
      <c r="C74" s="40" t="s">
        <v>170</v>
      </c>
      <c r="D74" s="32" t="s">
        <v>64</v>
      </c>
      <c r="E74" s="138" t="s">
        <v>436</v>
      </c>
      <c r="F74" s="138" t="s">
        <v>437</v>
      </c>
      <c r="G74" s="140">
        <v>4255561145</v>
      </c>
      <c r="H74" s="140">
        <v>2372</v>
      </c>
      <c r="I74" s="140">
        <v>0</v>
      </c>
      <c r="J74" s="141">
        <f t="shared" si="2"/>
        <v>2372</v>
      </c>
      <c r="K74" s="49">
        <f t="shared" si="3"/>
        <v>0</v>
      </c>
      <c r="L74" s="49"/>
      <c r="M74" s="50" t="s">
        <v>111</v>
      </c>
      <c r="N74" s="50"/>
      <c r="O74" s="143" t="s">
        <v>683</v>
      </c>
      <c r="P74" s="69" t="s">
        <v>545</v>
      </c>
    </row>
    <row r="75" spans="2:16" ht="156" x14ac:dyDescent="0.6">
      <c r="B75" s="32">
        <v>72</v>
      </c>
      <c r="C75" s="40" t="s">
        <v>170</v>
      </c>
      <c r="D75" s="32" t="s">
        <v>64</v>
      </c>
      <c r="E75" s="138" t="s">
        <v>438</v>
      </c>
      <c r="F75" s="138" t="s">
        <v>439</v>
      </c>
      <c r="G75" s="140">
        <v>385729318</v>
      </c>
      <c r="H75" s="140">
        <v>189</v>
      </c>
      <c r="I75" s="140">
        <v>0</v>
      </c>
      <c r="J75" s="141">
        <f t="shared" si="2"/>
        <v>189</v>
      </c>
      <c r="K75" s="49">
        <f t="shared" si="3"/>
        <v>0</v>
      </c>
      <c r="L75" s="49"/>
      <c r="M75" s="50" t="s">
        <v>111</v>
      </c>
      <c r="N75" s="50"/>
      <c r="O75" s="142" t="s">
        <v>557</v>
      </c>
      <c r="P75" s="69" t="s">
        <v>537</v>
      </c>
    </row>
    <row r="76" spans="2:16" ht="156" x14ac:dyDescent="0.6">
      <c r="B76" s="32">
        <v>73</v>
      </c>
      <c r="C76" s="40" t="s">
        <v>170</v>
      </c>
      <c r="D76" s="32" t="s">
        <v>64</v>
      </c>
      <c r="E76" s="138" t="s">
        <v>440</v>
      </c>
      <c r="F76" s="138" t="s">
        <v>441</v>
      </c>
      <c r="G76" s="140">
        <v>71127431</v>
      </c>
      <c r="H76" s="140">
        <v>45</v>
      </c>
      <c r="I76" s="140">
        <v>0</v>
      </c>
      <c r="J76" s="141">
        <f t="shared" si="2"/>
        <v>45</v>
      </c>
      <c r="K76" s="49">
        <f t="shared" si="3"/>
        <v>0</v>
      </c>
      <c r="L76" s="49"/>
      <c r="M76" s="50" t="s">
        <v>111</v>
      </c>
      <c r="N76" s="50"/>
      <c r="O76" s="142" t="s">
        <v>558</v>
      </c>
      <c r="P76" s="69" t="s">
        <v>537</v>
      </c>
    </row>
    <row r="77" spans="2:16" ht="156" x14ac:dyDescent="0.6">
      <c r="B77" s="32">
        <v>74</v>
      </c>
      <c r="C77" s="40" t="s">
        <v>170</v>
      </c>
      <c r="D77" s="32" t="s">
        <v>64</v>
      </c>
      <c r="E77" s="138" t="s">
        <v>442</v>
      </c>
      <c r="F77" s="138" t="s">
        <v>443</v>
      </c>
      <c r="G77" s="140">
        <v>67754692</v>
      </c>
      <c r="H77" s="140">
        <v>38</v>
      </c>
      <c r="I77" s="140">
        <v>0</v>
      </c>
      <c r="J77" s="141">
        <f t="shared" si="2"/>
        <v>38</v>
      </c>
      <c r="K77" s="49">
        <f t="shared" si="3"/>
        <v>0</v>
      </c>
      <c r="L77" s="49"/>
      <c r="M77" s="50" t="s">
        <v>111</v>
      </c>
      <c r="N77" s="50"/>
      <c r="O77" s="142" t="s">
        <v>558</v>
      </c>
      <c r="P77" s="69" t="s">
        <v>537</v>
      </c>
    </row>
    <row r="78" spans="2:16" ht="187.2" x14ac:dyDescent="0.6">
      <c r="B78" s="32">
        <v>75</v>
      </c>
      <c r="C78" s="40" t="s">
        <v>170</v>
      </c>
      <c r="D78" s="32" t="s">
        <v>64</v>
      </c>
      <c r="E78" s="138" t="s">
        <v>444</v>
      </c>
      <c r="F78" s="139" t="s">
        <v>445</v>
      </c>
      <c r="G78" s="140">
        <v>197739742</v>
      </c>
      <c r="H78" s="140">
        <v>132</v>
      </c>
      <c r="I78" s="140">
        <v>0</v>
      </c>
      <c r="J78" s="141">
        <f t="shared" si="2"/>
        <v>132</v>
      </c>
      <c r="K78" s="49">
        <f t="shared" si="3"/>
        <v>0</v>
      </c>
      <c r="L78" s="49"/>
      <c r="M78" s="50" t="s">
        <v>111</v>
      </c>
      <c r="N78" s="50"/>
      <c r="O78" s="142" t="s">
        <v>684</v>
      </c>
      <c r="P78" s="69" t="s">
        <v>537</v>
      </c>
    </row>
    <row r="79" spans="2:16" ht="156" x14ac:dyDescent="0.6">
      <c r="B79" s="32">
        <v>76</v>
      </c>
      <c r="C79" s="40" t="s">
        <v>170</v>
      </c>
      <c r="D79" s="32" t="s">
        <v>64</v>
      </c>
      <c r="E79" s="138" t="s">
        <v>446</v>
      </c>
      <c r="F79" s="139" t="s">
        <v>447</v>
      </c>
      <c r="G79" s="140">
        <v>51917452</v>
      </c>
      <c r="H79" s="140">
        <v>24</v>
      </c>
      <c r="I79" s="140">
        <v>0</v>
      </c>
      <c r="J79" s="141">
        <f t="shared" si="2"/>
        <v>24</v>
      </c>
      <c r="K79" s="49">
        <f t="shared" si="3"/>
        <v>0</v>
      </c>
      <c r="L79" s="49"/>
      <c r="M79" s="50" t="s">
        <v>111</v>
      </c>
      <c r="N79" s="50"/>
      <c r="O79" s="142" t="s">
        <v>558</v>
      </c>
      <c r="P79" s="69" t="s">
        <v>537</v>
      </c>
    </row>
    <row r="80" spans="2:16" ht="280.8" x14ac:dyDescent="0.6">
      <c r="B80" s="32">
        <v>77</v>
      </c>
      <c r="C80" s="40" t="s">
        <v>170</v>
      </c>
      <c r="D80" s="32" t="s">
        <v>64</v>
      </c>
      <c r="E80" s="139" t="s">
        <v>448</v>
      </c>
      <c r="F80" s="139" t="s">
        <v>449</v>
      </c>
      <c r="G80" s="140">
        <v>1093554684</v>
      </c>
      <c r="H80" s="140">
        <v>936</v>
      </c>
      <c r="I80" s="140">
        <v>0</v>
      </c>
      <c r="J80" s="141">
        <f t="shared" si="2"/>
        <v>936</v>
      </c>
      <c r="K80" s="49">
        <f t="shared" si="3"/>
        <v>0</v>
      </c>
      <c r="L80" s="49"/>
      <c r="M80" s="50" t="s">
        <v>111</v>
      </c>
      <c r="N80" s="50"/>
      <c r="O80" s="142" t="s">
        <v>685</v>
      </c>
      <c r="P80" s="69" t="s">
        <v>537</v>
      </c>
    </row>
    <row r="81" spans="2:16" ht="156" x14ac:dyDescent="0.6">
      <c r="B81" s="32">
        <v>78</v>
      </c>
      <c r="C81" s="40" t="s">
        <v>170</v>
      </c>
      <c r="D81" s="32" t="s">
        <v>64</v>
      </c>
      <c r="E81" s="139" t="s">
        <v>450</v>
      </c>
      <c r="F81" s="139" t="s">
        <v>451</v>
      </c>
      <c r="G81" s="140">
        <v>137246829</v>
      </c>
      <c r="H81" s="140">
        <v>120</v>
      </c>
      <c r="I81" s="140">
        <v>0</v>
      </c>
      <c r="J81" s="141">
        <f t="shared" si="2"/>
        <v>120</v>
      </c>
      <c r="K81" s="49">
        <f t="shared" si="3"/>
        <v>0</v>
      </c>
      <c r="L81" s="49"/>
      <c r="M81" s="50" t="s">
        <v>111</v>
      </c>
      <c r="N81" s="50"/>
      <c r="O81" s="142" t="s">
        <v>686</v>
      </c>
      <c r="P81" s="69" t="s">
        <v>537</v>
      </c>
    </row>
    <row r="82" spans="2:16" ht="93.6" x14ac:dyDescent="0.6">
      <c r="B82" s="144">
        <v>79</v>
      </c>
      <c r="C82" s="145" t="s">
        <v>170</v>
      </c>
      <c r="D82" s="144" t="s">
        <v>64</v>
      </c>
      <c r="E82" s="153" t="s">
        <v>452</v>
      </c>
      <c r="F82" s="153" t="s">
        <v>453</v>
      </c>
      <c r="G82" s="147">
        <v>3319683131</v>
      </c>
      <c r="H82" s="147">
        <v>1037</v>
      </c>
      <c r="I82" s="147">
        <v>0</v>
      </c>
      <c r="J82" s="148">
        <f t="shared" si="2"/>
        <v>1037</v>
      </c>
      <c r="K82" s="149">
        <f t="shared" si="3"/>
        <v>0</v>
      </c>
      <c r="L82" s="149"/>
      <c r="M82" s="150" t="s">
        <v>495</v>
      </c>
      <c r="N82" s="150"/>
      <c r="O82" s="151"/>
      <c r="P82" s="152" t="s">
        <v>495</v>
      </c>
    </row>
    <row r="83" spans="2:16" ht="374.4" x14ac:dyDescent="0.6">
      <c r="B83" s="32">
        <v>80</v>
      </c>
      <c r="C83" s="40" t="s">
        <v>170</v>
      </c>
      <c r="D83" s="32" t="s">
        <v>64</v>
      </c>
      <c r="E83" s="139" t="s">
        <v>454</v>
      </c>
      <c r="F83" s="139" t="s">
        <v>455</v>
      </c>
      <c r="G83" s="140">
        <v>680809147</v>
      </c>
      <c r="H83" s="140">
        <v>571</v>
      </c>
      <c r="I83" s="140">
        <v>687</v>
      </c>
      <c r="J83" s="141"/>
      <c r="K83" s="49">
        <v>0.95</v>
      </c>
      <c r="L83" s="49"/>
      <c r="M83" s="50" t="s">
        <v>50</v>
      </c>
      <c r="N83" s="50"/>
      <c r="O83" s="142" t="s">
        <v>687</v>
      </c>
      <c r="P83" s="69" t="s">
        <v>537</v>
      </c>
    </row>
    <row r="84" spans="2:16" ht="156" x14ac:dyDescent="0.6">
      <c r="B84" s="32">
        <v>81</v>
      </c>
      <c r="C84" s="40" t="s">
        <v>170</v>
      </c>
      <c r="D84" s="32" t="s">
        <v>47</v>
      </c>
      <c r="E84" s="139" t="s">
        <v>456</v>
      </c>
      <c r="F84" s="139" t="s">
        <v>457</v>
      </c>
      <c r="G84" s="140">
        <v>2324343476</v>
      </c>
      <c r="H84" s="140">
        <v>1865</v>
      </c>
      <c r="I84" s="140">
        <v>1949</v>
      </c>
      <c r="J84" s="141">
        <f t="shared" si="2"/>
        <v>-84</v>
      </c>
      <c r="K84" s="49">
        <f t="shared" si="3"/>
        <v>1.0450402144772117</v>
      </c>
      <c r="L84" s="49"/>
      <c r="M84" s="50" t="s">
        <v>50</v>
      </c>
      <c r="N84" s="50"/>
      <c r="O84" s="143" t="s">
        <v>688</v>
      </c>
      <c r="P84" s="69" t="s">
        <v>538</v>
      </c>
    </row>
    <row r="85" spans="2:16" ht="156" x14ac:dyDescent="0.6">
      <c r="B85" s="32">
        <v>82</v>
      </c>
      <c r="C85" s="40" t="s">
        <v>170</v>
      </c>
      <c r="D85" s="32" t="s">
        <v>47</v>
      </c>
      <c r="E85" s="139" t="s">
        <v>458</v>
      </c>
      <c r="F85" s="139" t="s">
        <v>459</v>
      </c>
      <c r="G85" s="140">
        <v>545631617</v>
      </c>
      <c r="H85" s="140">
        <v>384</v>
      </c>
      <c r="I85" s="140">
        <v>205</v>
      </c>
      <c r="J85" s="141">
        <f t="shared" si="2"/>
        <v>179</v>
      </c>
      <c r="K85" s="49">
        <f t="shared" si="3"/>
        <v>0.53385416666666663</v>
      </c>
      <c r="L85" s="49"/>
      <c r="M85" s="50" t="s">
        <v>50</v>
      </c>
      <c r="N85" s="50"/>
      <c r="O85" s="143" t="s">
        <v>689</v>
      </c>
      <c r="P85" s="69" t="s">
        <v>537</v>
      </c>
    </row>
    <row r="86" spans="2:16" ht="156" x14ac:dyDescent="0.6">
      <c r="B86" s="32">
        <v>83</v>
      </c>
      <c r="C86" s="40" t="s">
        <v>170</v>
      </c>
      <c r="D86" s="32" t="s">
        <v>47</v>
      </c>
      <c r="E86" s="139" t="s">
        <v>460</v>
      </c>
      <c r="F86" s="139" t="s">
        <v>461</v>
      </c>
      <c r="G86" s="140">
        <v>598104818</v>
      </c>
      <c r="H86" s="140">
        <v>418</v>
      </c>
      <c r="I86" s="140">
        <v>0</v>
      </c>
      <c r="J86" s="141">
        <f t="shared" si="2"/>
        <v>418</v>
      </c>
      <c r="K86" s="49">
        <f t="shared" si="3"/>
        <v>0</v>
      </c>
      <c r="L86" s="49"/>
      <c r="M86" s="50" t="s">
        <v>111</v>
      </c>
      <c r="N86" s="50"/>
      <c r="O86" s="143" t="s">
        <v>690</v>
      </c>
      <c r="P86" s="69" t="s">
        <v>537</v>
      </c>
    </row>
    <row r="87" spans="2:16" ht="312" x14ac:dyDescent="0.6">
      <c r="B87" s="32">
        <v>84</v>
      </c>
      <c r="C87" s="40" t="s">
        <v>170</v>
      </c>
      <c r="D87" s="32" t="s">
        <v>47</v>
      </c>
      <c r="E87" s="139" t="s">
        <v>462</v>
      </c>
      <c r="F87" s="139" t="s">
        <v>463</v>
      </c>
      <c r="G87" s="140">
        <v>237561186</v>
      </c>
      <c r="H87" s="140">
        <v>149</v>
      </c>
      <c r="I87" s="140">
        <v>0</v>
      </c>
      <c r="J87" s="141">
        <f t="shared" si="2"/>
        <v>149</v>
      </c>
      <c r="K87" s="49">
        <f t="shared" si="3"/>
        <v>0</v>
      </c>
      <c r="L87" s="49"/>
      <c r="M87" s="50" t="s">
        <v>111</v>
      </c>
      <c r="N87" s="50"/>
      <c r="O87" s="143" t="s">
        <v>691</v>
      </c>
      <c r="P87" s="69" t="s">
        <v>537</v>
      </c>
    </row>
    <row r="88" spans="2:16" ht="156" x14ac:dyDescent="0.6">
      <c r="B88" s="32">
        <v>85</v>
      </c>
      <c r="C88" s="40" t="s">
        <v>170</v>
      </c>
      <c r="D88" s="32" t="s">
        <v>47</v>
      </c>
      <c r="E88" s="139" t="s">
        <v>464</v>
      </c>
      <c r="F88" s="139" t="s">
        <v>465</v>
      </c>
      <c r="G88" s="140">
        <v>1152177863</v>
      </c>
      <c r="H88" s="140">
        <v>1041</v>
      </c>
      <c r="I88" s="140">
        <v>0</v>
      </c>
      <c r="J88" s="141">
        <f t="shared" si="2"/>
        <v>1041</v>
      </c>
      <c r="K88" s="49">
        <f t="shared" si="3"/>
        <v>0</v>
      </c>
      <c r="L88" s="49"/>
      <c r="M88" s="50" t="s">
        <v>111</v>
      </c>
      <c r="N88" s="50"/>
      <c r="O88" s="143" t="s">
        <v>557</v>
      </c>
      <c r="P88" s="69" t="s">
        <v>538</v>
      </c>
    </row>
    <row r="89" spans="2:16" ht="405.6" x14ac:dyDescent="0.6">
      <c r="B89" s="32">
        <v>86</v>
      </c>
      <c r="C89" s="40" t="s">
        <v>170</v>
      </c>
      <c r="D89" s="32" t="s">
        <v>47</v>
      </c>
      <c r="E89" s="137" t="s">
        <v>466</v>
      </c>
      <c r="F89" s="137" t="s">
        <v>467</v>
      </c>
      <c r="G89" s="140">
        <v>1008009930</v>
      </c>
      <c r="H89" s="140">
        <v>706</v>
      </c>
      <c r="I89" s="140">
        <v>162</v>
      </c>
      <c r="J89" s="141">
        <f t="shared" si="2"/>
        <v>544</v>
      </c>
      <c r="K89" s="49">
        <f t="shared" si="3"/>
        <v>0.22946175637393768</v>
      </c>
      <c r="L89" s="49"/>
      <c r="M89" s="50" t="s">
        <v>50</v>
      </c>
      <c r="N89" s="50"/>
      <c r="O89" s="143" t="s">
        <v>692</v>
      </c>
      <c r="P89" s="69" t="s">
        <v>537</v>
      </c>
    </row>
    <row r="90" spans="2:16" ht="249.6" x14ac:dyDescent="0.6">
      <c r="B90" s="32">
        <v>87</v>
      </c>
      <c r="C90" s="40" t="s">
        <v>170</v>
      </c>
      <c r="D90" s="32" t="s">
        <v>47</v>
      </c>
      <c r="E90" s="137" t="s">
        <v>468</v>
      </c>
      <c r="F90" s="137" t="s">
        <v>469</v>
      </c>
      <c r="G90" s="140">
        <v>870569306</v>
      </c>
      <c r="H90" s="140">
        <v>772</v>
      </c>
      <c r="I90" s="140">
        <v>0</v>
      </c>
      <c r="J90" s="141">
        <f t="shared" si="2"/>
        <v>772</v>
      </c>
      <c r="K90" s="49">
        <f t="shared" si="3"/>
        <v>0</v>
      </c>
      <c r="L90" s="49"/>
      <c r="M90" s="50" t="s">
        <v>111</v>
      </c>
      <c r="N90" s="50"/>
      <c r="O90" s="143" t="s">
        <v>693</v>
      </c>
      <c r="P90" s="69" t="s">
        <v>537</v>
      </c>
    </row>
    <row r="91" spans="2:16" ht="156" x14ac:dyDescent="0.6">
      <c r="B91" s="32">
        <v>88</v>
      </c>
      <c r="C91" s="40" t="s">
        <v>170</v>
      </c>
      <c r="D91" s="32" t="s">
        <v>47</v>
      </c>
      <c r="E91" s="137" t="s">
        <v>470</v>
      </c>
      <c r="F91" s="137" t="s">
        <v>471</v>
      </c>
      <c r="G91" s="140">
        <v>1378787051</v>
      </c>
      <c r="H91" s="140">
        <v>1126</v>
      </c>
      <c r="I91" s="140">
        <v>0</v>
      </c>
      <c r="J91" s="141">
        <f t="shared" si="2"/>
        <v>1126</v>
      </c>
      <c r="K91" s="49">
        <f t="shared" si="3"/>
        <v>0</v>
      </c>
      <c r="L91" s="49"/>
      <c r="M91" s="50" t="s">
        <v>111</v>
      </c>
      <c r="N91" s="50"/>
      <c r="O91" s="143" t="s">
        <v>694</v>
      </c>
      <c r="P91" s="69" t="s">
        <v>538</v>
      </c>
    </row>
    <row r="92" spans="2:16" ht="156" x14ac:dyDescent="0.6">
      <c r="B92" s="32">
        <v>89</v>
      </c>
      <c r="C92" s="40" t="s">
        <v>170</v>
      </c>
      <c r="D92" s="32" t="s">
        <v>64</v>
      </c>
      <c r="E92" s="137" t="s">
        <v>472</v>
      </c>
      <c r="F92" s="137" t="s">
        <v>473</v>
      </c>
      <c r="G92" s="140">
        <v>296736552</v>
      </c>
      <c r="H92" s="140">
        <v>185</v>
      </c>
      <c r="I92" s="140">
        <v>0</v>
      </c>
      <c r="J92" s="141">
        <f t="shared" si="2"/>
        <v>185</v>
      </c>
      <c r="K92" s="49">
        <f t="shared" si="3"/>
        <v>0</v>
      </c>
      <c r="L92" s="49"/>
      <c r="M92" s="50" t="s">
        <v>111</v>
      </c>
      <c r="N92" s="50"/>
      <c r="O92" s="143" t="s">
        <v>559</v>
      </c>
      <c r="P92" s="69" t="s">
        <v>537</v>
      </c>
    </row>
    <row r="93" spans="2:16" ht="156" x14ac:dyDescent="0.6">
      <c r="B93" s="32">
        <v>90</v>
      </c>
      <c r="C93" s="40" t="s">
        <v>170</v>
      </c>
      <c r="D93" s="32" t="s">
        <v>64</v>
      </c>
      <c r="E93" s="137" t="s">
        <v>474</v>
      </c>
      <c r="F93" s="137" t="s">
        <v>475</v>
      </c>
      <c r="G93" s="140">
        <v>1408158270</v>
      </c>
      <c r="H93" s="140">
        <v>1245</v>
      </c>
      <c r="I93" s="140">
        <v>0</v>
      </c>
      <c r="J93" s="141">
        <f t="shared" si="2"/>
        <v>1245</v>
      </c>
      <c r="K93" s="49">
        <f t="shared" si="3"/>
        <v>0</v>
      </c>
      <c r="L93" s="49"/>
      <c r="M93" s="50" t="s">
        <v>111</v>
      </c>
      <c r="N93" s="50"/>
      <c r="O93" s="143" t="s">
        <v>559</v>
      </c>
      <c r="P93" s="69" t="s">
        <v>538</v>
      </c>
    </row>
    <row r="94" spans="2:16" ht="218.4" x14ac:dyDescent="0.6">
      <c r="B94" s="32">
        <v>91</v>
      </c>
      <c r="C94" s="40" t="s">
        <v>170</v>
      </c>
      <c r="D94" s="32" t="s">
        <v>64</v>
      </c>
      <c r="E94" s="137" t="s">
        <v>476</v>
      </c>
      <c r="F94" s="137" t="s">
        <v>477</v>
      </c>
      <c r="G94" s="140">
        <v>1092475342</v>
      </c>
      <c r="H94" s="140">
        <v>1012</v>
      </c>
      <c r="I94" s="140">
        <v>278</v>
      </c>
      <c r="J94" s="141">
        <f t="shared" si="2"/>
        <v>734</v>
      </c>
      <c r="K94" s="49">
        <f t="shared" si="3"/>
        <v>0.27470355731225299</v>
      </c>
      <c r="L94" s="49"/>
      <c r="M94" s="50" t="s">
        <v>50</v>
      </c>
      <c r="N94" s="50"/>
      <c r="O94" s="143" t="s">
        <v>695</v>
      </c>
      <c r="P94" s="69" t="s">
        <v>538</v>
      </c>
    </row>
    <row r="95" spans="2:16" ht="156" x14ac:dyDescent="0.6">
      <c r="B95" s="32">
        <v>92</v>
      </c>
      <c r="C95" s="40" t="s">
        <v>170</v>
      </c>
      <c r="D95" s="32" t="s">
        <v>64</v>
      </c>
      <c r="E95" s="137" t="s">
        <v>478</v>
      </c>
      <c r="F95" s="137" t="s">
        <v>479</v>
      </c>
      <c r="G95" s="140">
        <v>228391200</v>
      </c>
      <c r="H95" s="140">
        <v>106</v>
      </c>
      <c r="I95" s="140">
        <v>0</v>
      </c>
      <c r="J95" s="141">
        <f t="shared" si="2"/>
        <v>106</v>
      </c>
      <c r="K95" s="49">
        <f t="shared" si="3"/>
        <v>0</v>
      </c>
      <c r="L95" s="49"/>
      <c r="M95" s="50" t="s">
        <v>111</v>
      </c>
      <c r="N95" s="50"/>
      <c r="O95" s="142" t="s">
        <v>696</v>
      </c>
      <c r="P95" s="69" t="s">
        <v>537</v>
      </c>
    </row>
    <row r="96" spans="2:16" ht="156" x14ac:dyDescent="0.6">
      <c r="B96" s="32">
        <v>93</v>
      </c>
      <c r="C96" s="40" t="s">
        <v>170</v>
      </c>
      <c r="D96" s="32" t="s">
        <v>64</v>
      </c>
      <c r="E96" s="137" t="s">
        <v>480</v>
      </c>
      <c r="F96" s="137" t="s">
        <v>481</v>
      </c>
      <c r="G96" s="140">
        <v>188411072</v>
      </c>
      <c r="H96" s="140">
        <v>15</v>
      </c>
      <c r="I96" s="140">
        <v>0</v>
      </c>
      <c r="J96" s="141">
        <f t="shared" si="2"/>
        <v>15</v>
      </c>
      <c r="K96" s="49">
        <f t="shared" si="3"/>
        <v>0</v>
      </c>
      <c r="L96" s="49"/>
      <c r="M96" s="50" t="s">
        <v>111</v>
      </c>
      <c r="N96" s="50"/>
      <c r="O96" s="142" t="s">
        <v>697</v>
      </c>
      <c r="P96" s="69" t="s">
        <v>537</v>
      </c>
    </row>
    <row r="97" spans="2:16" ht="156" x14ac:dyDescent="0.6">
      <c r="B97" s="32">
        <v>94</v>
      </c>
      <c r="C97" s="40" t="s">
        <v>170</v>
      </c>
      <c r="D97" s="32" t="s">
        <v>64</v>
      </c>
      <c r="E97" s="137" t="s">
        <v>482</v>
      </c>
      <c r="F97" s="33" t="s">
        <v>483</v>
      </c>
      <c r="G97" s="140">
        <v>63183291</v>
      </c>
      <c r="H97" s="140">
        <v>40</v>
      </c>
      <c r="I97" s="140">
        <v>0</v>
      </c>
      <c r="J97" s="141">
        <f t="shared" si="2"/>
        <v>40</v>
      </c>
      <c r="K97" s="49">
        <f t="shared" si="3"/>
        <v>0</v>
      </c>
      <c r="L97" s="49"/>
      <c r="M97" s="50" t="s">
        <v>111</v>
      </c>
      <c r="N97" s="50"/>
      <c r="O97" s="142" t="s">
        <v>698</v>
      </c>
      <c r="P97" s="69" t="s">
        <v>560</v>
      </c>
    </row>
    <row r="98" spans="2:16" ht="156" x14ac:dyDescent="0.6">
      <c r="B98" s="32">
        <v>95</v>
      </c>
      <c r="C98" s="40" t="s">
        <v>170</v>
      </c>
      <c r="D98" s="32" t="s">
        <v>64</v>
      </c>
      <c r="E98" s="137" t="s">
        <v>484</v>
      </c>
      <c r="F98" s="40" t="s">
        <v>485</v>
      </c>
      <c r="G98" s="140">
        <v>346756313</v>
      </c>
      <c r="H98" s="140">
        <v>268</v>
      </c>
      <c r="I98" s="140">
        <v>0</v>
      </c>
      <c r="J98" s="141">
        <f t="shared" si="2"/>
        <v>268</v>
      </c>
      <c r="K98" s="49">
        <f t="shared" si="3"/>
        <v>0</v>
      </c>
      <c r="L98" s="49"/>
      <c r="M98" s="50" t="s">
        <v>111</v>
      </c>
      <c r="N98" s="50"/>
      <c r="O98" s="142" t="s">
        <v>698</v>
      </c>
      <c r="P98" s="69" t="s">
        <v>560</v>
      </c>
    </row>
    <row r="99" spans="2:16" ht="156" x14ac:dyDescent="0.6">
      <c r="B99" s="32">
        <v>96</v>
      </c>
      <c r="C99" s="40" t="s">
        <v>170</v>
      </c>
      <c r="D99" s="32" t="s">
        <v>64</v>
      </c>
      <c r="E99" s="138" t="s">
        <v>486</v>
      </c>
      <c r="F99" s="40" t="s">
        <v>487</v>
      </c>
      <c r="G99" s="140">
        <v>432594476</v>
      </c>
      <c r="H99" s="140">
        <v>287</v>
      </c>
      <c r="I99" s="140">
        <v>0</v>
      </c>
      <c r="J99" s="141">
        <f t="shared" si="2"/>
        <v>287</v>
      </c>
      <c r="K99" s="49">
        <f t="shared" si="3"/>
        <v>0</v>
      </c>
      <c r="L99" s="49"/>
      <c r="M99" s="50" t="s">
        <v>111</v>
      </c>
      <c r="N99" s="50"/>
      <c r="O99" s="142" t="s">
        <v>698</v>
      </c>
      <c r="P99" s="69" t="s">
        <v>560</v>
      </c>
    </row>
    <row r="100" spans="2:16" s="158" customFormat="1" ht="26.55" customHeight="1" x14ac:dyDescent="0.3">
      <c r="B100" s="160" t="s">
        <v>498</v>
      </c>
      <c r="C100" s="161"/>
      <c r="D100" s="161"/>
      <c r="E100" s="161"/>
      <c r="F100" s="161"/>
      <c r="G100" s="155">
        <f>SUBTOTAL(9,G4:G99)</f>
        <v>1004550927482</v>
      </c>
      <c r="H100" s="155">
        <f t="shared" ref="H100:J100" si="4">SUBTOTAL(9,H4:H99)</f>
        <v>438771</v>
      </c>
      <c r="I100" s="155">
        <f t="shared" si="4"/>
        <v>24477.9</v>
      </c>
      <c r="J100" s="155">
        <f t="shared" si="4"/>
        <v>414295.8</v>
      </c>
      <c r="K100" s="156">
        <f>I100/H100</f>
        <v>5.5787415303199167E-2</v>
      </c>
      <c r="L100" s="156"/>
      <c r="M100" s="157"/>
      <c r="N100" s="157"/>
      <c r="O100" s="157"/>
      <c r="P100" s="157"/>
    </row>
  </sheetData>
  <autoFilter ref="B3:P99" xr:uid="{D8314F27-87F3-4962-B07A-6D8569E102D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Okt 25</vt:lpstr>
      <vt:lpstr>Apr 25</vt:lpstr>
      <vt:lpstr>Apr 26</vt:lpstr>
      <vt:lpstr>Okt-26</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 Febriyanto</dc:creator>
  <cp:keywords/>
  <dc:description/>
  <cp:lastModifiedBy>Indradi Kridiasto</cp:lastModifiedBy>
  <cp:revision/>
  <dcterms:created xsi:type="dcterms:W3CDTF">2026-04-07T07:00:06Z</dcterms:created>
  <dcterms:modified xsi:type="dcterms:W3CDTF">2026-07-01T02:49:15Z</dcterms:modified>
  <cp:category/>
  <cp:contentStatus/>
</cp:coreProperties>
</file>